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Dashboard" sheetId="1" state="visible" r:id="rId3"/>
    <sheet name="Calc" sheetId="2" state="visible" r:id="rId4"/>
    <sheet name="Clients" sheetId="3" state="visible" r:id="rId5"/>
    <sheet name="Projects" sheetId="4" state="visible" r:id="rId6"/>
    <sheet name="Tasks" sheetId="5" state="visible" r:id="rId7"/>
    <sheet name="Invoi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<sst xmlns="http://schemas.openxmlformats.org/spreadsheetml/2006/main" count="2301" uniqueCount="742">
  <si>
    <t xml:space="preserve">YoungXCode — KPI Dashboard</t>
  </si>
  <si>
    <t xml:space="preserve">Auto-calculated from Clients, Projects, Tasks, Invoices sheets. Update target values (yellow) as needed.</t>
  </si>
  <si>
    <t xml:space="preserve">KPI</t>
  </si>
  <si>
    <t xml:space="preserve">Formula / Calculation Method</t>
  </si>
  <si>
    <t xml:space="preserve">Current Value</t>
  </si>
  <si>
    <t xml:space="preserve">Target</t>
  </si>
  <si>
    <t xml:space="preserve">Status</t>
  </si>
  <si>
    <t xml:space="preserve">Category</t>
  </si>
  <si>
    <t xml:space="preserve">Monthly Recurring Revenue (MRR)</t>
  </si>
  <si>
    <t xml:space="preserve">Total Invoiced Amount (incl. GST) / Number of Active Months</t>
  </si>
  <si>
    <t xml:space="preserve">Revenue</t>
  </si>
  <si>
    <t xml:space="preserve">Average Project Value</t>
  </si>
  <si>
    <t xml:space="preserve">AVERAGE(Project Budget) across all projects</t>
  </si>
  <si>
    <t xml:space="preserve">Invoice Collection Rate</t>
  </si>
  <si>
    <t xml:space="preserve">SUM(Paid Invoices Total) / SUM(Total Invoiced) x 100</t>
  </si>
  <si>
    <t xml:space="preserve">Overdue Amount</t>
  </si>
  <si>
    <t xml:space="preserve">SUM(Total Amount) where Payment Status is Overdue/Unpaid/Partially Paid AND Due Date &lt; Today</t>
  </si>
  <si>
    <t xml:space="preserve">On-Time Delivery Rate</t>
  </si>
  <si>
    <t xml:space="preserve">COUNT(Completed Projects, Actual End &lt;= Deadline) / COUNT(Completed Projects) x 100</t>
  </si>
  <si>
    <t xml:space="preserve">Project</t>
  </si>
  <si>
    <t xml:space="preserve">Average Project Duration (days)</t>
  </si>
  <si>
    <t xml:space="preserve">AVERAGE(Actual End Date - Start Date) for Completed Projects</t>
  </si>
  <si>
    <t xml:space="preserve">Budget Overrun Rate</t>
  </si>
  <si>
    <t xml:space="preserve">COUNT(Projects where Amount Spent &gt; Budget) / COUNT(Total Projects) x 100</t>
  </si>
  <si>
    <t xml:space="preserve">Task Completion Rate</t>
  </si>
  <si>
    <t xml:space="preserve">COUNT(Tasks where Status = Completed) / COUNT(Total Tasks) x 100</t>
  </si>
  <si>
    <t xml:space="preserve">Team</t>
  </si>
  <si>
    <t xml:space="preserve">Average Hours per Task</t>
  </si>
  <si>
    <t xml:space="preserve">AVERAGE(Actual Hours) across all tasks</t>
  </si>
  <si>
    <t xml:space="preserve">Team Utilization %</t>
  </si>
  <si>
    <t xml:space="preserve">SUM(Actual Hours) / SUM(Estimated Hours) x 100</t>
  </si>
  <si>
    <t xml:space="preserve">Client Retention Rate</t>
  </si>
  <si>
    <t xml:space="preserve">COUNT(Clients with Total Projects &gt;= 1) / COUNT(Total Clients) x 100</t>
  </si>
  <si>
    <t xml:space="preserve">Client</t>
  </si>
  <si>
    <t xml:space="preserve">Average Projects per Client</t>
  </si>
  <si>
    <t xml:space="preserve">AVERAGE(Total Projects per Client)</t>
  </si>
  <si>
    <t xml:space="preserve">Helper Calculations</t>
  </si>
  <si>
    <t xml:space="preserve">Label</t>
  </si>
  <si>
    <t xml:space="preserve">Value</t>
  </si>
  <si>
    <t xml:space="preserve">Total Invoiced (incl GST)</t>
  </si>
  <si>
    <t xml:space="preserve">Active Months Span</t>
  </si>
  <si>
    <t xml:space="preserve">Total Paid Amount</t>
  </si>
  <si>
    <t xml:space="preserve">Total Overdue Amount</t>
  </si>
  <si>
    <t xml:space="preserve">Completed Projects Count</t>
  </si>
  <si>
    <t xml:space="preserve">On-Time Completed Count</t>
  </si>
  <si>
    <t xml:space="preserve">Sum Duration (Completed, days)</t>
  </si>
  <si>
    <t xml:space="preserve">Completed Projects with Valid End Date</t>
  </si>
  <si>
    <t xml:space="preserve">Total Projects Count</t>
  </si>
  <si>
    <t xml:space="preserve">Overrun Projects Count</t>
  </si>
  <si>
    <t xml:space="preserve">Total Tasks Count</t>
  </si>
  <si>
    <t xml:space="preserve">Completed Tasks Count</t>
  </si>
  <si>
    <t xml:space="preserve">Sum Actual Hours</t>
  </si>
  <si>
    <t xml:space="preserve">Sum Estimated Hours</t>
  </si>
  <si>
    <t xml:space="preserve">Total Clients Count</t>
  </si>
  <si>
    <t xml:space="preserve">Clients with Projects &gt;=1</t>
  </si>
  <si>
    <t xml:space="preserve">client_id</t>
  </si>
  <si>
    <t xml:space="preserve">client_name</t>
  </si>
  <si>
    <t xml:space="preserve">city</t>
  </si>
  <si>
    <t xml:space="preserve">industry</t>
  </si>
  <si>
    <t xml:space="preserve">join_date</t>
  </si>
  <si>
    <t xml:space="preserve">total_projects</t>
  </si>
  <si>
    <t xml:space="preserve">total_revenue</t>
  </si>
  <si>
    <t xml:space="preserve">CL1000</t>
  </si>
  <si>
    <t xml:space="preserve">Apex Systems</t>
  </si>
  <si>
    <t xml:space="preserve">Lucknow</t>
  </si>
  <si>
    <t xml:space="preserve">Logistics</t>
  </si>
  <si>
    <t xml:space="preserve">CL1001</t>
  </si>
  <si>
    <t xml:space="preserve">Nova Corp</t>
  </si>
  <si>
    <t xml:space="preserve">Bangalore</t>
  </si>
  <si>
    <t xml:space="preserve">E-Commerce</t>
  </si>
  <si>
    <t xml:space="preserve">CL1002</t>
  </si>
  <si>
    <t xml:space="preserve">Pixel Works</t>
  </si>
  <si>
    <t xml:space="preserve">Chennai</t>
  </si>
  <si>
    <t xml:space="preserve">Real Estate</t>
  </si>
  <si>
    <t xml:space="preserve">CL1003</t>
  </si>
  <si>
    <t xml:space="preserve">Quantum Labs</t>
  </si>
  <si>
    <t xml:space="preserve">Mumbai</t>
  </si>
  <si>
    <t xml:space="preserve">Media</t>
  </si>
  <si>
    <t xml:space="preserve">CL1004</t>
  </si>
  <si>
    <t xml:space="preserve">Grand Systems</t>
  </si>
  <si>
    <t xml:space="preserve">Retail</t>
  </si>
  <si>
    <t xml:space="preserve">CL1005</t>
  </si>
  <si>
    <t xml:space="preserve">Apex Corp</t>
  </si>
  <si>
    <t xml:space="preserve">CL1006</t>
  </si>
  <si>
    <t xml:space="preserve">Cloud Technologies</t>
  </si>
  <si>
    <t xml:space="preserve">Pune</t>
  </si>
  <si>
    <t xml:space="preserve">Education</t>
  </si>
  <si>
    <t xml:space="preserve">CL1007</t>
  </si>
  <si>
    <t xml:space="preserve">Tech Hub</t>
  </si>
  <si>
    <t xml:space="preserve">Indore</t>
  </si>
  <si>
    <t xml:space="preserve">Fintech</t>
  </si>
  <si>
    <t xml:space="preserve">CL1008</t>
  </si>
  <si>
    <t xml:space="preserve">Swift Solutions</t>
  </si>
  <si>
    <t xml:space="preserve">CL1009</t>
  </si>
  <si>
    <t xml:space="preserve">Nova Systems</t>
  </si>
  <si>
    <t xml:space="preserve">Surat</t>
  </si>
  <si>
    <t xml:space="preserve">Hospitality</t>
  </si>
  <si>
    <t xml:space="preserve">CL1010</t>
  </si>
  <si>
    <t xml:space="preserve">Quantum Works</t>
  </si>
  <si>
    <t xml:space="preserve">CL1011</t>
  </si>
  <si>
    <t xml:space="preserve">Crest Hub</t>
  </si>
  <si>
    <t xml:space="preserve">Ahmedabad</t>
  </si>
  <si>
    <t xml:space="preserve">Healthcare</t>
  </si>
  <si>
    <t xml:space="preserve">CL1012</t>
  </si>
  <si>
    <t xml:space="preserve">Nova Technologies</t>
  </si>
  <si>
    <t xml:space="preserve">CL1013</t>
  </si>
  <si>
    <t xml:space="preserve">Quantum Corp</t>
  </si>
  <si>
    <t xml:space="preserve">CL1014</t>
  </si>
  <si>
    <t xml:space="preserve">Crest Group</t>
  </si>
  <si>
    <t xml:space="preserve">CL1015</t>
  </si>
  <si>
    <t xml:space="preserve">Quantum Enterprises</t>
  </si>
  <si>
    <t xml:space="preserve">Kolkata</t>
  </si>
  <si>
    <t xml:space="preserve">CL1016</t>
  </si>
  <si>
    <t xml:space="preserve">Vivid Industries</t>
  </si>
  <si>
    <t xml:space="preserve">CL1017</t>
  </si>
  <si>
    <t xml:space="preserve">Royal Solutions</t>
  </si>
  <si>
    <t xml:space="preserve">CL1018</t>
  </si>
  <si>
    <t xml:space="preserve">Royal Labs</t>
  </si>
  <si>
    <t xml:space="preserve">CL1019</t>
  </si>
  <si>
    <t xml:space="preserve">Grand Group</t>
  </si>
  <si>
    <t xml:space="preserve">CL1020</t>
  </si>
  <si>
    <t xml:space="preserve">Urban Industries</t>
  </si>
  <si>
    <t xml:space="preserve">CL1021</t>
  </si>
  <si>
    <t xml:space="preserve">Bright Works</t>
  </si>
  <si>
    <t xml:space="preserve">CL1022</t>
  </si>
  <si>
    <t xml:space="preserve">Royal Ventures</t>
  </si>
  <si>
    <t xml:space="preserve">CL1023</t>
  </si>
  <si>
    <t xml:space="preserve">Tech Systems</t>
  </si>
  <si>
    <t xml:space="preserve">Hyderabad</t>
  </si>
  <si>
    <t xml:space="preserve">CL1024</t>
  </si>
  <si>
    <t xml:space="preserve">Swift Systems</t>
  </si>
  <si>
    <t xml:space="preserve">Jaipur</t>
  </si>
  <si>
    <t xml:space="preserve">CL1025</t>
  </si>
  <si>
    <t xml:space="preserve">Urban Ventures</t>
  </si>
  <si>
    <t xml:space="preserve">CL1026</t>
  </si>
  <si>
    <t xml:space="preserve">Grand Enterprises</t>
  </si>
  <si>
    <t xml:space="preserve">CL1027</t>
  </si>
  <si>
    <t xml:space="preserve">Crest Systems</t>
  </si>
  <si>
    <t xml:space="preserve">CL1028</t>
  </si>
  <si>
    <t xml:space="preserve">Cloud Group</t>
  </si>
  <si>
    <t xml:space="preserve">CL1029</t>
  </si>
  <si>
    <t xml:space="preserve">Tech Technologies</t>
  </si>
  <si>
    <t xml:space="preserve">CL1030</t>
  </si>
  <si>
    <t xml:space="preserve">Pixel Net</t>
  </si>
  <si>
    <t xml:space="preserve">CL1031</t>
  </si>
  <si>
    <t xml:space="preserve">Vivid Ventures</t>
  </si>
  <si>
    <t xml:space="preserve">Manufacturing</t>
  </si>
  <si>
    <t xml:space="preserve">CL1032</t>
  </si>
  <si>
    <t xml:space="preserve">Vivid Works</t>
  </si>
  <si>
    <t xml:space="preserve">CL1033</t>
  </si>
  <si>
    <t xml:space="preserve">Nova Net</t>
  </si>
  <si>
    <t xml:space="preserve">CL1034</t>
  </si>
  <si>
    <t xml:space="preserve">Quantum Industries</t>
  </si>
  <si>
    <t xml:space="preserve">CL1035</t>
  </si>
  <si>
    <t xml:space="preserve">Tech Works</t>
  </si>
  <si>
    <t xml:space="preserve">CL1036</t>
  </si>
  <si>
    <t xml:space="preserve">Silver Systems</t>
  </si>
  <si>
    <t xml:space="preserve">CL1037</t>
  </si>
  <si>
    <t xml:space="preserve">Swift Industries</t>
  </si>
  <si>
    <t xml:space="preserve">CL1038</t>
  </si>
  <si>
    <t xml:space="preserve">Bharat Net</t>
  </si>
  <si>
    <t xml:space="preserve">CL1039</t>
  </si>
  <si>
    <t xml:space="preserve">Silver Ventures</t>
  </si>
  <si>
    <t xml:space="preserve">CL1040</t>
  </si>
  <si>
    <t xml:space="preserve">Bright Ventures</t>
  </si>
  <si>
    <t xml:space="preserve">CL1041</t>
  </si>
  <si>
    <t xml:space="preserve">Urban Works</t>
  </si>
  <si>
    <t xml:space="preserve">CL1042</t>
  </si>
  <si>
    <t xml:space="preserve">Apex Industries</t>
  </si>
  <si>
    <t xml:space="preserve">CL1043</t>
  </si>
  <si>
    <t xml:space="preserve">Grand Net</t>
  </si>
  <si>
    <t xml:space="preserve">CL1044</t>
  </si>
  <si>
    <t xml:space="preserve">Vivid Net</t>
  </si>
  <si>
    <t xml:space="preserve">CL1045</t>
  </si>
  <si>
    <t xml:space="preserve">Bright Technologies</t>
  </si>
  <si>
    <t xml:space="preserve">CL1046</t>
  </si>
  <si>
    <t xml:space="preserve">Grand Works</t>
  </si>
  <si>
    <t xml:space="preserve">CL1047</t>
  </si>
  <si>
    <t xml:space="preserve">Bright Enterprises</t>
  </si>
  <si>
    <t xml:space="preserve">CL1048</t>
  </si>
  <si>
    <t xml:space="preserve">Cloud Net</t>
  </si>
  <si>
    <t xml:space="preserve">CL1049</t>
  </si>
  <si>
    <t xml:space="preserve">Grand Technologies</t>
  </si>
  <si>
    <t xml:space="preserve">project_id</t>
  </si>
  <si>
    <t xml:space="preserve">project_name</t>
  </si>
  <si>
    <t xml:space="preserve">start_date</t>
  </si>
  <si>
    <t xml:space="preserve">deadline</t>
  </si>
  <si>
    <t xml:space="preserve">actual_end_date</t>
  </si>
  <si>
    <t xml:space="preserve">budget</t>
  </si>
  <si>
    <t xml:space="preserve">amount_spent</t>
  </si>
  <si>
    <t xml:space="preserve">status</t>
  </si>
  <si>
    <t xml:space="preserve">budget_utilization_pct</t>
  </si>
  <si>
    <t xml:space="preserve">is_overdue</t>
  </si>
  <si>
    <t xml:space="preserve">PRJ2000</t>
  </si>
  <si>
    <t xml:space="preserve">Analytics Dashboard - Grand</t>
  </si>
  <si>
    <t xml:space="preserve">Cancelled</t>
  </si>
  <si>
    <t xml:space="preserve">PRJ2001</t>
  </si>
  <si>
    <t xml:space="preserve">POS System - Swift</t>
  </si>
  <si>
    <t xml:space="preserve">Completed</t>
  </si>
  <si>
    <t xml:space="preserve">PRJ2002</t>
  </si>
  <si>
    <t xml:space="preserve">Mobile App - Tech</t>
  </si>
  <si>
    <t xml:space="preserve">In Progress</t>
  </si>
  <si>
    <t xml:space="preserve">PRJ2003</t>
  </si>
  <si>
    <t xml:space="preserve">Website Redesign - Cloud</t>
  </si>
  <si>
    <t xml:space="preserve">PRJ2004</t>
  </si>
  <si>
    <t xml:space="preserve">E-commerce Platform - Quantum</t>
  </si>
  <si>
    <t xml:space="preserve">Delayed</t>
  </si>
  <si>
    <t xml:space="preserve">PRJ2005</t>
  </si>
  <si>
    <t xml:space="preserve">Website Redesign - Crest</t>
  </si>
  <si>
    <t xml:space="preserve">PRJ2006</t>
  </si>
  <si>
    <t xml:space="preserve">Payment Gateway - Swift</t>
  </si>
  <si>
    <t xml:space="preserve">On Hold</t>
  </si>
  <si>
    <t xml:space="preserve">PRJ2007</t>
  </si>
  <si>
    <t xml:space="preserve">Mobile App - Nova</t>
  </si>
  <si>
    <t xml:space="preserve">PRJ2008</t>
  </si>
  <si>
    <t xml:space="preserve">Cloud Migration - Grand</t>
  </si>
  <si>
    <t xml:space="preserve">PRJ2009</t>
  </si>
  <si>
    <t xml:space="preserve">CRM Integration - Apex</t>
  </si>
  <si>
    <t xml:space="preserve">PRJ2010</t>
  </si>
  <si>
    <t xml:space="preserve">Inventory Management - Apex</t>
  </si>
  <si>
    <t xml:space="preserve">PRJ2011</t>
  </si>
  <si>
    <t xml:space="preserve">CRM Integration - Cloud</t>
  </si>
  <si>
    <t xml:space="preserve">PRJ2012</t>
  </si>
  <si>
    <t xml:space="preserve">ERP System - Vivid</t>
  </si>
  <si>
    <t xml:space="preserve">PRJ2013</t>
  </si>
  <si>
    <t xml:space="preserve">Payment Gateway - Cloud</t>
  </si>
  <si>
    <t xml:space="preserve">PRJ2014</t>
  </si>
  <si>
    <t xml:space="preserve">Marketing Website - Grand</t>
  </si>
  <si>
    <t xml:space="preserve">PRJ2015</t>
  </si>
  <si>
    <t xml:space="preserve">API Development - Tech</t>
  </si>
  <si>
    <t xml:space="preserve">PRJ2016</t>
  </si>
  <si>
    <t xml:space="preserve">E-commerce Platform - Vivid</t>
  </si>
  <si>
    <t xml:space="preserve">PRJ2017</t>
  </si>
  <si>
    <t xml:space="preserve">Marketing Website - Pixel</t>
  </si>
  <si>
    <t xml:space="preserve">PRJ2018</t>
  </si>
  <si>
    <t xml:space="preserve">Marketing Website - Cloud</t>
  </si>
  <si>
    <t xml:space="preserve">PRJ2019</t>
  </si>
  <si>
    <t xml:space="preserve">ERP System - Nova</t>
  </si>
  <si>
    <t xml:space="preserve">PRJ2020</t>
  </si>
  <si>
    <t xml:space="preserve">Inventory Management - Pixel</t>
  </si>
  <si>
    <t xml:space="preserve">PRJ2021</t>
  </si>
  <si>
    <t xml:space="preserve">Cloud Migration - Quantum</t>
  </si>
  <si>
    <t xml:space="preserve">PRJ2022</t>
  </si>
  <si>
    <t xml:space="preserve">HRMS Portal - Bright</t>
  </si>
  <si>
    <t xml:space="preserve">PRJ2023</t>
  </si>
  <si>
    <t xml:space="preserve">POS System - Grand</t>
  </si>
  <si>
    <t xml:space="preserve">PRJ2024</t>
  </si>
  <si>
    <t xml:space="preserve">LMS Platform - Apex</t>
  </si>
  <si>
    <t xml:space="preserve">PRJ2025</t>
  </si>
  <si>
    <t xml:space="preserve">POS System - Pixel</t>
  </si>
  <si>
    <t xml:space="preserve">PRJ2026</t>
  </si>
  <si>
    <t xml:space="preserve">Mobile App - Crest</t>
  </si>
  <si>
    <t xml:space="preserve">PRJ2027</t>
  </si>
  <si>
    <t xml:space="preserve">Payment Gateway - Grand</t>
  </si>
  <si>
    <t xml:space="preserve">PRJ2028</t>
  </si>
  <si>
    <t xml:space="preserve">E-commerce Platform - Bright</t>
  </si>
  <si>
    <t xml:space="preserve">PRJ2029</t>
  </si>
  <si>
    <t xml:space="preserve">Mobile App - Pixel</t>
  </si>
  <si>
    <t xml:space="preserve">PRJ2030</t>
  </si>
  <si>
    <t xml:space="preserve">PRJ2031</t>
  </si>
  <si>
    <t xml:space="preserve">API Development - Quantum</t>
  </si>
  <si>
    <t xml:space="preserve">PRJ2032</t>
  </si>
  <si>
    <t xml:space="preserve">Payment Gateway - Tech</t>
  </si>
  <si>
    <t xml:space="preserve">PRJ2033</t>
  </si>
  <si>
    <t xml:space="preserve">ERP System - Swift</t>
  </si>
  <si>
    <t xml:space="preserve">PRJ2034</t>
  </si>
  <si>
    <t xml:space="preserve">POS System - Silver</t>
  </si>
  <si>
    <t xml:space="preserve">PRJ2035</t>
  </si>
  <si>
    <t xml:space="preserve">Analytics Dashboard - Swift</t>
  </si>
  <si>
    <t xml:space="preserve">PRJ2036</t>
  </si>
  <si>
    <t xml:space="preserve">Mobile App - Bright</t>
  </si>
  <si>
    <t xml:space="preserve">PRJ2037</t>
  </si>
  <si>
    <t xml:space="preserve">Analytics Dashboard - Cloud</t>
  </si>
  <si>
    <t xml:space="preserve">PRJ2038</t>
  </si>
  <si>
    <t xml:space="preserve">Booking System - Silver</t>
  </si>
  <si>
    <t xml:space="preserve">PRJ2039</t>
  </si>
  <si>
    <t xml:space="preserve">POS System - Vivid</t>
  </si>
  <si>
    <t xml:space="preserve">PRJ2040</t>
  </si>
  <si>
    <t xml:space="preserve">PRJ2041</t>
  </si>
  <si>
    <t xml:space="preserve">Cloud Migration - Tech</t>
  </si>
  <si>
    <t xml:space="preserve">PRJ2042</t>
  </si>
  <si>
    <t xml:space="preserve">HRMS Portal - Urban</t>
  </si>
  <si>
    <t xml:space="preserve">PRJ2043</t>
  </si>
  <si>
    <t xml:space="preserve">CRM Integration - Tech</t>
  </si>
  <si>
    <t xml:space="preserve">PRJ2044</t>
  </si>
  <si>
    <t xml:space="preserve">Analytics Dashboard - Bright</t>
  </si>
  <si>
    <t xml:space="preserve">PRJ2045</t>
  </si>
  <si>
    <t xml:space="preserve">ERP System - Grand</t>
  </si>
  <si>
    <t xml:space="preserve">PRJ2046</t>
  </si>
  <si>
    <t xml:space="preserve">Payment Gateway - Crest</t>
  </si>
  <si>
    <t xml:space="preserve">PRJ2047</t>
  </si>
  <si>
    <t xml:space="preserve">Marketing Website - Tech</t>
  </si>
  <si>
    <t xml:space="preserve">PRJ2048</t>
  </si>
  <si>
    <t xml:space="preserve">HRMS Portal - Nova</t>
  </si>
  <si>
    <t xml:space="preserve">PRJ2049</t>
  </si>
  <si>
    <t xml:space="preserve">PRJ2050</t>
  </si>
  <si>
    <t xml:space="preserve">Booking System - Crest</t>
  </si>
  <si>
    <t xml:space="preserve">PRJ2051</t>
  </si>
  <si>
    <t xml:space="preserve">PRJ2052</t>
  </si>
  <si>
    <t xml:space="preserve">Website Redesign - Silver</t>
  </si>
  <si>
    <t xml:space="preserve">PRJ2053</t>
  </si>
  <si>
    <t xml:space="preserve">PRJ2054</t>
  </si>
  <si>
    <t xml:space="preserve">PRJ2055</t>
  </si>
  <si>
    <t xml:space="preserve">CRM Integration - Royal</t>
  </si>
  <si>
    <t xml:space="preserve">PRJ2056</t>
  </si>
  <si>
    <t xml:space="preserve">CRM Integration - Nova</t>
  </si>
  <si>
    <t xml:space="preserve">PRJ2057</t>
  </si>
  <si>
    <t xml:space="preserve">PRJ2058</t>
  </si>
  <si>
    <t xml:space="preserve">HRMS Portal - Grand</t>
  </si>
  <si>
    <t xml:space="preserve">PRJ2059</t>
  </si>
  <si>
    <t xml:space="preserve">Mobile App - Swift</t>
  </si>
  <si>
    <t xml:space="preserve">PRJ2060</t>
  </si>
  <si>
    <t xml:space="preserve">PRJ2061</t>
  </si>
  <si>
    <t xml:space="preserve">Website Redesign - Pixel</t>
  </si>
  <si>
    <t xml:space="preserve">PRJ2062</t>
  </si>
  <si>
    <t xml:space="preserve">PRJ2063</t>
  </si>
  <si>
    <t xml:space="preserve">POS System - Nova</t>
  </si>
  <si>
    <t xml:space="preserve">PRJ2064</t>
  </si>
  <si>
    <t xml:space="preserve">LMS Platform - Quantum</t>
  </si>
  <si>
    <t xml:space="preserve">PRJ2065</t>
  </si>
  <si>
    <t xml:space="preserve">PRJ2066</t>
  </si>
  <si>
    <t xml:space="preserve">E-commerce Platform - Nova</t>
  </si>
  <si>
    <t xml:space="preserve">PRJ2067</t>
  </si>
  <si>
    <t xml:space="preserve">Analytics Dashboard - Bharat</t>
  </si>
  <si>
    <t xml:space="preserve">PRJ2068</t>
  </si>
  <si>
    <t xml:space="preserve">PRJ2069</t>
  </si>
  <si>
    <t xml:space="preserve">Analytics Dashboard - Royal</t>
  </si>
  <si>
    <t xml:space="preserve">PRJ2070</t>
  </si>
  <si>
    <t xml:space="preserve">E-commerce Platform - Tech</t>
  </si>
  <si>
    <t xml:space="preserve">PRJ2071</t>
  </si>
  <si>
    <t xml:space="preserve">PRJ2072</t>
  </si>
  <si>
    <t xml:space="preserve">PRJ2073</t>
  </si>
  <si>
    <t xml:space="preserve">PRJ2074</t>
  </si>
  <si>
    <t xml:space="preserve">ERP System - Apex</t>
  </si>
  <si>
    <t xml:space="preserve">PRJ2075</t>
  </si>
  <si>
    <t xml:space="preserve">PRJ2076</t>
  </si>
  <si>
    <t xml:space="preserve">PRJ2077</t>
  </si>
  <si>
    <t xml:space="preserve">E-commerce Platform - Grand</t>
  </si>
  <si>
    <t xml:space="preserve">PRJ2078</t>
  </si>
  <si>
    <t xml:space="preserve">Cloud Migration - Apex</t>
  </si>
  <si>
    <t xml:space="preserve">PRJ2079</t>
  </si>
  <si>
    <t xml:space="preserve">task_id</t>
  </si>
  <si>
    <t xml:space="preserve">assignee</t>
  </si>
  <si>
    <t xml:space="preserve">priority</t>
  </si>
  <si>
    <t xml:space="preserve">created_date</t>
  </si>
  <si>
    <t xml:space="preserve">completed_date</t>
  </si>
  <si>
    <t xml:space="preserve">estimated_hours</t>
  </si>
  <si>
    <t xml:space="preserve">actual_hours</t>
  </si>
  <si>
    <t xml:space="preserve">task_status</t>
  </si>
  <si>
    <t xml:space="preserve">hours_variance</t>
  </si>
  <si>
    <t xml:space="preserve">TSK3000</t>
  </si>
  <si>
    <t xml:space="preserve">Tanvi Desai</t>
  </si>
  <si>
    <t xml:space="preserve">Medium</t>
  </si>
  <si>
    <t xml:space="preserve">TSK3001</t>
  </si>
  <si>
    <t xml:space="preserve">Priya Singh</t>
  </si>
  <si>
    <t xml:space="preserve">Low</t>
  </si>
  <si>
    <t xml:space="preserve">TSK3002</t>
  </si>
  <si>
    <t xml:space="preserve">Siddharth Iyer</t>
  </si>
  <si>
    <t xml:space="preserve">High</t>
  </si>
  <si>
    <t xml:space="preserve">TSK3003</t>
  </si>
  <si>
    <t xml:space="preserve">Pooja Reddy</t>
  </si>
  <si>
    <t xml:space="preserve">TSK3004</t>
  </si>
  <si>
    <t xml:space="preserve">TSK3005</t>
  </si>
  <si>
    <t xml:space="preserve">Isha Bansal</t>
  </si>
  <si>
    <t xml:space="preserve">Open</t>
  </si>
  <si>
    <t xml:space="preserve">TSK3006</t>
  </si>
  <si>
    <t xml:space="preserve">Neha Kapoor</t>
  </si>
  <si>
    <t xml:space="preserve">Critical</t>
  </si>
  <si>
    <t xml:space="preserve">TSK3007</t>
  </si>
  <si>
    <t xml:space="preserve">Riya Sharma</t>
  </si>
  <si>
    <t xml:space="preserve">TSK3008</t>
  </si>
  <si>
    <t xml:space="preserve">TSK3009</t>
  </si>
  <si>
    <t xml:space="preserve">Vikram Joshi</t>
  </si>
  <si>
    <t xml:space="preserve">TSK3010</t>
  </si>
  <si>
    <t xml:space="preserve">Ananya Rao</t>
  </si>
  <si>
    <t xml:space="preserve">TSK3011</t>
  </si>
  <si>
    <t xml:space="preserve">Sneha Patel</t>
  </si>
  <si>
    <t xml:space="preserve">TSK3012</t>
  </si>
  <si>
    <t xml:space="preserve">TSK3013</t>
  </si>
  <si>
    <t xml:space="preserve">TSK3014</t>
  </si>
  <si>
    <t xml:space="preserve">TSK3015</t>
  </si>
  <si>
    <t xml:space="preserve">TSK3016</t>
  </si>
  <si>
    <t xml:space="preserve">Manish Kumar</t>
  </si>
  <si>
    <t xml:space="preserve">TSK3017</t>
  </si>
  <si>
    <t xml:space="preserve">TSK3018</t>
  </si>
  <si>
    <t xml:space="preserve">TSK3019</t>
  </si>
  <si>
    <t xml:space="preserve">TSK3020</t>
  </si>
  <si>
    <t xml:space="preserve">Arjun Nair</t>
  </si>
  <si>
    <t xml:space="preserve">TSK3021</t>
  </si>
  <si>
    <t xml:space="preserve">TSK3022</t>
  </si>
  <si>
    <t xml:space="preserve">TSK3023</t>
  </si>
  <si>
    <t xml:space="preserve">TSK3024</t>
  </si>
  <si>
    <t xml:space="preserve">TSK3025</t>
  </si>
  <si>
    <t xml:space="preserve">TSK3026</t>
  </si>
  <si>
    <t xml:space="preserve">TSK3027</t>
  </si>
  <si>
    <t xml:space="preserve">TSK3028</t>
  </si>
  <si>
    <t xml:space="preserve">Karan Mehta</t>
  </si>
  <si>
    <t xml:space="preserve">TSK3029</t>
  </si>
  <si>
    <t xml:space="preserve">TSK3030</t>
  </si>
  <si>
    <t xml:space="preserve">TSK3031</t>
  </si>
  <si>
    <t xml:space="preserve">TSK3032</t>
  </si>
  <si>
    <t xml:space="preserve">TSK3033</t>
  </si>
  <si>
    <t xml:space="preserve">TSK3034</t>
  </si>
  <si>
    <t xml:space="preserve">TSK3035</t>
  </si>
  <si>
    <t xml:space="preserve">TSK3036</t>
  </si>
  <si>
    <t xml:space="preserve">TSK3037</t>
  </si>
  <si>
    <t xml:space="preserve">TSK3038</t>
  </si>
  <si>
    <t xml:space="preserve">TSK3039</t>
  </si>
  <si>
    <t xml:space="preserve">Aman Verma</t>
  </si>
  <si>
    <t xml:space="preserve">TSK3040</t>
  </si>
  <si>
    <t xml:space="preserve">TSK3041</t>
  </si>
  <si>
    <t xml:space="preserve">TSK3042</t>
  </si>
  <si>
    <t xml:space="preserve">TSK3043</t>
  </si>
  <si>
    <t xml:space="preserve">TSK3044</t>
  </si>
  <si>
    <t xml:space="preserve">TSK3045</t>
  </si>
  <si>
    <t xml:space="preserve">TSK3046</t>
  </si>
  <si>
    <t xml:space="preserve">TSK3047</t>
  </si>
  <si>
    <t xml:space="preserve">TSK3048</t>
  </si>
  <si>
    <t xml:space="preserve">TSK3049</t>
  </si>
  <si>
    <t xml:space="preserve">TSK3050</t>
  </si>
  <si>
    <t xml:space="preserve">TSK3051</t>
  </si>
  <si>
    <t xml:space="preserve">TSK3052</t>
  </si>
  <si>
    <t xml:space="preserve">TSK3053</t>
  </si>
  <si>
    <t xml:space="preserve">TSK3054</t>
  </si>
  <si>
    <t xml:space="preserve">TSK3055</t>
  </si>
  <si>
    <t xml:space="preserve">TSK3056</t>
  </si>
  <si>
    <t xml:space="preserve">TSK3057</t>
  </si>
  <si>
    <t xml:space="preserve">TSK3058</t>
  </si>
  <si>
    <t xml:space="preserve">TSK3059</t>
  </si>
  <si>
    <t xml:space="preserve">TSK3060</t>
  </si>
  <si>
    <t xml:space="preserve">TSK3061</t>
  </si>
  <si>
    <t xml:space="preserve">TSK3062</t>
  </si>
  <si>
    <t xml:space="preserve">TSK3063</t>
  </si>
  <si>
    <t xml:space="preserve">TSK3064</t>
  </si>
  <si>
    <t xml:space="preserve">TSK3065</t>
  </si>
  <si>
    <t xml:space="preserve">TSK3066</t>
  </si>
  <si>
    <t xml:space="preserve">TSK3067</t>
  </si>
  <si>
    <t xml:space="preserve">TSK3068</t>
  </si>
  <si>
    <t xml:space="preserve">TSK3069</t>
  </si>
  <si>
    <t xml:space="preserve">TSK3070</t>
  </si>
  <si>
    <t xml:space="preserve">TSK3071</t>
  </si>
  <si>
    <t xml:space="preserve">TSK3072</t>
  </si>
  <si>
    <t xml:space="preserve">Rohan Gupta</t>
  </si>
  <si>
    <t xml:space="preserve">TSK3073</t>
  </si>
  <si>
    <t xml:space="preserve">TSK3074</t>
  </si>
  <si>
    <t xml:space="preserve">TSK3075</t>
  </si>
  <si>
    <t xml:space="preserve">TSK3076</t>
  </si>
  <si>
    <t xml:space="preserve">TSK3077</t>
  </si>
  <si>
    <t xml:space="preserve">TSK3078</t>
  </si>
  <si>
    <t xml:space="preserve">TSK3079</t>
  </si>
  <si>
    <t xml:space="preserve">TSK3080</t>
  </si>
  <si>
    <t xml:space="preserve">TSK3081</t>
  </si>
  <si>
    <t xml:space="preserve">TSK3082</t>
  </si>
  <si>
    <t xml:space="preserve">TSK3083</t>
  </si>
  <si>
    <t xml:space="preserve">TSK3084</t>
  </si>
  <si>
    <t xml:space="preserve">TSK3085</t>
  </si>
  <si>
    <t xml:space="preserve">TSK3086</t>
  </si>
  <si>
    <t xml:space="preserve">TSK3087</t>
  </si>
  <si>
    <t xml:space="preserve">TSK3088</t>
  </si>
  <si>
    <t xml:space="preserve">TSK3089</t>
  </si>
  <si>
    <t xml:space="preserve">TSK3090</t>
  </si>
  <si>
    <t xml:space="preserve">TSK3091</t>
  </si>
  <si>
    <t xml:space="preserve">TSK3092</t>
  </si>
  <si>
    <t xml:space="preserve">TSK3093</t>
  </si>
  <si>
    <t xml:space="preserve">TSK3094</t>
  </si>
  <si>
    <t xml:space="preserve">TSK3095</t>
  </si>
  <si>
    <t xml:space="preserve">TSK3096</t>
  </si>
  <si>
    <t xml:space="preserve">TSK3097</t>
  </si>
  <si>
    <t xml:space="preserve">TSK3098</t>
  </si>
  <si>
    <t xml:space="preserve">TSK3099</t>
  </si>
  <si>
    <t xml:space="preserve">TSK3100</t>
  </si>
  <si>
    <t xml:space="preserve">TSK3101</t>
  </si>
  <si>
    <t xml:space="preserve">TSK3102</t>
  </si>
  <si>
    <t xml:space="preserve">TSK3103</t>
  </si>
  <si>
    <t xml:space="preserve">TSK3104</t>
  </si>
  <si>
    <t xml:space="preserve">TSK3105</t>
  </si>
  <si>
    <t xml:space="preserve">TSK3106</t>
  </si>
  <si>
    <t xml:space="preserve">TSK3107</t>
  </si>
  <si>
    <t xml:space="preserve">TSK3108</t>
  </si>
  <si>
    <t xml:space="preserve">TSK3109</t>
  </si>
  <si>
    <t xml:space="preserve">TSK3110</t>
  </si>
  <si>
    <t xml:space="preserve">TSK3111</t>
  </si>
  <si>
    <t xml:space="preserve">TSK3112</t>
  </si>
  <si>
    <t xml:space="preserve">TSK3113</t>
  </si>
  <si>
    <t xml:space="preserve">TSK3114</t>
  </si>
  <si>
    <t xml:space="preserve">TSK3115</t>
  </si>
  <si>
    <t xml:space="preserve">TSK3116</t>
  </si>
  <si>
    <t xml:space="preserve">TSK3117</t>
  </si>
  <si>
    <t xml:space="preserve">TSK3118</t>
  </si>
  <si>
    <t xml:space="preserve">TSK3119</t>
  </si>
  <si>
    <t xml:space="preserve">TSK3120</t>
  </si>
  <si>
    <t xml:space="preserve">TSK3121</t>
  </si>
  <si>
    <t xml:space="preserve">TSK3122</t>
  </si>
  <si>
    <t xml:space="preserve">TSK3123</t>
  </si>
  <si>
    <t xml:space="preserve">TSK3124</t>
  </si>
  <si>
    <t xml:space="preserve">TSK3125</t>
  </si>
  <si>
    <t xml:space="preserve">TSK3126</t>
  </si>
  <si>
    <t xml:space="preserve">TSK3127</t>
  </si>
  <si>
    <t xml:space="preserve">TSK3128</t>
  </si>
  <si>
    <t xml:space="preserve">TSK3129</t>
  </si>
  <si>
    <t xml:space="preserve">TSK3130</t>
  </si>
  <si>
    <t xml:space="preserve">TSK3131</t>
  </si>
  <si>
    <t xml:space="preserve">TSK3132</t>
  </si>
  <si>
    <t xml:space="preserve">TSK3133</t>
  </si>
  <si>
    <t xml:space="preserve">TSK3134</t>
  </si>
  <si>
    <t xml:space="preserve">TSK3135</t>
  </si>
  <si>
    <t xml:space="preserve">TSK3136</t>
  </si>
  <si>
    <t xml:space="preserve">TSK3137</t>
  </si>
  <si>
    <t xml:space="preserve">TSK3138</t>
  </si>
  <si>
    <t xml:space="preserve">TSK3139</t>
  </si>
  <si>
    <t xml:space="preserve">TSK3140</t>
  </si>
  <si>
    <t xml:space="preserve">TSK3141</t>
  </si>
  <si>
    <t xml:space="preserve">TSK3142</t>
  </si>
  <si>
    <t xml:space="preserve">TSK3143</t>
  </si>
  <si>
    <t xml:space="preserve">TSK3144</t>
  </si>
  <si>
    <t xml:space="preserve">TSK3145</t>
  </si>
  <si>
    <t xml:space="preserve">TSK3146</t>
  </si>
  <si>
    <t xml:space="preserve">TSK3147</t>
  </si>
  <si>
    <t xml:space="preserve">TSK3148</t>
  </si>
  <si>
    <t xml:space="preserve">TSK3149</t>
  </si>
  <si>
    <t xml:space="preserve">TSK3150</t>
  </si>
  <si>
    <t xml:space="preserve">TSK3151</t>
  </si>
  <si>
    <t xml:space="preserve">TSK3152</t>
  </si>
  <si>
    <t xml:space="preserve">TSK3153</t>
  </si>
  <si>
    <t xml:space="preserve">TSK3154</t>
  </si>
  <si>
    <t xml:space="preserve">TSK3155</t>
  </si>
  <si>
    <t xml:space="preserve">TSK3156</t>
  </si>
  <si>
    <t xml:space="preserve">TSK3157</t>
  </si>
  <si>
    <t xml:space="preserve">TSK3158</t>
  </si>
  <si>
    <t xml:space="preserve">TSK3159</t>
  </si>
  <si>
    <t xml:space="preserve">TSK3160</t>
  </si>
  <si>
    <t xml:space="preserve">TSK3161</t>
  </si>
  <si>
    <t xml:space="preserve">TSK3162</t>
  </si>
  <si>
    <t xml:space="preserve">TSK3163</t>
  </si>
  <si>
    <t xml:space="preserve">TSK3164</t>
  </si>
  <si>
    <t xml:space="preserve">TSK3165</t>
  </si>
  <si>
    <t xml:space="preserve">TSK3166</t>
  </si>
  <si>
    <t xml:space="preserve">TSK3167</t>
  </si>
  <si>
    <t xml:space="preserve">TSK3168</t>
  </si>
  <si>
    <t xml:space="preserve">TSK3169</t>
  </si>
  <si>
    <t xml:space="preserve">TSK3170</t>
  </si>
  <si>
    <t xml:space="preserve">TSK3171</t>
  </si>
  <si>
    <t xml:space="preserve">TSK3172</t>
  </si>
  <si>
    <t xml:space="preserve">TSK3173</t>
  </si>
  <si>
    <t xml:space="preserve">TSK3174</t>
  </si>
  <si>
    <t xml:space="preserve">TSK3175</t>
  </si>
  <si>
    <t xml:space="preserve">TSK3176</t>
  </si>
  <si>
    <t xml:space="preserve">TSK3177</t>
  </si>
  <si>
    <t xml:space="preserve">TSK3178</t>
  </si>
  <si>
    <t xml:space="preserve">TSK3179</t>
  </si>
  <si>
    <t xml:space="preserve">TSK3180</t>
  </si>
  <si>
    <t xml:space="preserve">TSK3181</t>
  </si>
  <si>
    <t xml:space="preserve">TSK3182</t>
  </si>
  <si>
    <t xml:space="preserve">TSK3183</t>
  </si>
  <si>
    <t xml:space="preserve">TSK3184</t>
  </si>
  <si>
    <t xml:space="preserve">TSK3185</t>
  </si>
  <si>
    <t xml:space="preserve">TSK3186</t>
  </si>
  <si>
    <t xml:space="preserve">TSK3187</t>
  </si>
  <si>
    <t xml:space="preserve">TSK3188</t>
  </si>
  <si>
    <t xml:space="preserve">TSK3189</t>
  </si>
  <si>
    <t xml:space="preserve">TSK3190</t>
  </si>
  <si>
    <t xml:space="preserve">TSK3191</t>
  </si>
  <si>
    <t xml:space="preserve">TSK3192</t>
  </si>
  <si>
    <t xml:space="preserve">TSK3193</t>
  </si>
  <si>
    <t xml:space="preserve">TSK3194</t>
  </si>
  <si>
    <t xml:space="preserve">TSK3195</t>
  </si>
  <si>
    <t xml:space="preserve">TSK3196</t>
  </si>
  <si>
    <t xml:space="preserve">TSK3197</t>
  </si>
  <si>
    <t xml:space="preserve">TSK3198</t>
  </si>
  <si>
    <t xml:space="preserve">TSK3199</t>
  </si>
  <si>
    <t xml:space="preserve">TSK3200</t>
  </si>
  <si>
    <t xml:space="preserve">TSK3201</t>
  </si>
  <si>
    <t xml:space="preserve">TSK3202</t>
  </si>
  <si>
    <t xml:space="preserve">TSK3203</t>
  </si>
  <si>
    <t xml:space="preserve">TSK3204</t>
  </si>
  <si>
    <t xml:space="preserve">TSK3205</t>
  </si>
  <si>
    <t xml:space="preserve">TSK3206</t>
  </si>
  <si>
    <t xml:space="preserve">TSK3207</t>
  </si>
  <si>
    <t xml:space="preserve">TSK3208</t>
  </si>
  <si>
    <t xml:space="preserve">TSK3209</t>
  </si>
  <si>
    <t xml:space="preserve">TSK3210</t>
  </si>
  <si>
    <t xml:space="preserve">TSK3211</t>
  </si>
  <si>
    <t xml:space="preserve">TSK3212</t>
  </si>
  <si>
    <t xml:space="preserve">TSK3213</t>
  </si>
  <si>
    <t xml:space="preserve">TSK3214</t>
  </si>
  <si>
    <t xml:space="preserve">TSK3215</t>
  </si>
  <si>
    <t xml:space="preserve">TSK3216</t>
  </si>
  <si>
    <t xml:space="preserve">TSK3217</t>
  </si>
  <si>
    <t xml:space="preserve">TSK3218</t>
  </si>
  <si>
    <t xml:space="preserve">TSK3219</t>
  </si>
  <si>
    <t xml:space="preserve">TSK3220</t>
  </si>
  <si>
    <t xml:space="preserve">TSK3221</t>
  </si>
  <si>
    <t xml:space="preserve">TSK3222</t>
  </si>
  <si>
    <t xml:space="preserve">TSK3223</t>
  </si>
  <si>
    <t xml:space="preserve">TSK3224</t>
  </si>
  <si>
    <t xml:space="preserve">TSK3225</t>
  </si>
  <si>
    <t xml:space="preserve">TSK3226</t>
  </si>
  <si>
    <t xml:space="preserve">TSK3227</t>
  </si>
  <si>
    <t xml:space="preserve">TSK3228</t>
  </si>
  <si>
    <t xml:space="preserve">TSK3229</t>
  </si>
  <si>
    <t xml:space="preserve">TSK3230</t>
  </si>
  <si>
    <t xml:space="preserve">TSK3231</t>
  </si>
  <si>
    <t xml:space="preserve">TSK3232</t>
  </si>
  <si>
    <t xml:space="preserve">TSK3233</t>
  </si>
  <si>
    <t xml:space="preserve">TSK3234</t>
  </si>
  <si>
    <t xml:space="preserve">TSK3235</t>
  </si>
  <si>
    <t xml:space="preserve">TSK3236</t>
  </si>
  <si>
    <t xml:space="preserve">TSK3237</t>
  </si>
  <si>
    <t xml:space="preserve">TSK3238</t>
  </si>
  <si>
    <t xml:space="preserve">TSK3239</t>
  </si>
  <si>
    <t xml:space="preserve">TSK3240</t>
  </si>
  <si>
    <t xml:space="preserve">TSK3241</t>
  </si>
  <si>
    <t xml:space="preserve">TSK3242</t>
  </si>
  <si>
    <t xml:space="preserve">TSK3243</t>
  </si>
  <si>
    <t xml:space="preserve">TSK3244</t>
  </si>
  <si>
    <t xml:space="preserve">TSK3245</t>
  </si>
  <si>
    <t xml:space="preserve">TSK3246</t>
  </si>
  <si>
    <t xml:space="preserve">TSK3247</t>
  </si>
  <si>
    <t xml:space="preserve">TSK3248</t>
  </si>
  <si>
    <t xml:space="preserve">TSK3249</t>
  </si>
  <si>
    <t xml:space="preserve">TSK3250</t>
  </si>
  <si>
    <t xml:space="preserve">TSK3251</t>
  </si>
  <si>
    <t xml:space="preserve">TSK3252</t>
  </si>
  <si>
    <t xml:space="preserve">TSK3253</t>
  </si>
  <si>
    <t xml:space="preserve">TSK3254</t>
  </si>
  <si>
    <t xml:space="preserve">TSK3255</t>
  </si>
  <si>
    <t xml:space="preserve">TSK3256</t>
  </si>
  <si>
    <t xml:space="preserve">TSK3257</t>
  </si>
  <si>
    <t xml:space="preserve">TSK3258</t>
  </si>
  <si>
    <t xml:space="preserve">TSK3259</t>
  </si>
  <si>
    <t xml:space="preserve">TSK3260</t>
  </si>
  <si>
    <t xml:space="preserve">TSK3261</t>
  </si>
  <si>
    <t xml:space="preserve">TSK3262</t>
  </si>
  <si>
    <t xml:space="preserve">TSK3263</t>
  </si>
  <si>
    <t xml:space="preserve">TSK3264</t>
  </si>
  <si>
    <t xml:space="preserve">TSK3265</t>
  </si>
  <si>
    <t xml:space="preserve">TSK3266</t>
  </si>
  <si>
    <t xml:space="preserve">TSK3267</t>
  </si>
  <si>
    <t xml:space="preserve">TSK3268</t>
  </si>
  <si>
    <t xml:space="preserve">TSK3269</t>
  </si>
  <si>
    <t xml:space="preserve">TSK3270</t>
  </si>
  <si>
    <t xml:space="preserve">TSK3271</t>
  </si>
  <si>
    <t xml:space="preserve">TSK3272</t>
  </si>
  <si>
    <t xml:space="preserve">TSK3273</t>
  </si>
  <si>
    <t xml:space="preserve">TSK3274</t>
  </si>
  <si>
    <t xml:space="preserve">TSK3275</t>
  </si>
  <si>
    <t xml:space="preserve">TSK3276</t>
  </si>
  <si>
    <t xml:space="preserve">TSK3277</t>
  </si>
  <si>
    <t xml:space="preserve">TSK3278</t>
  </si>
  <si>
    <t xml:space="preserve">TSK3279</t>
  </si>
  <si>
    <t xml:space="preserve">TSK3280</t>
  </si>
  <si>
    <t xml:space="preserve">TSK3281</t>
  </si>
  <si>
    <t xml:space="preserve">TSK3282</t>
  </si>
  <si>
    <t xml:space="preserve">TSK3283</t>
  </si>
  <si>
    <t xml:space="preserve">TSK3284</t>
  </si>
  <si>
    <t xml:space="preserve">TSK3285</t>
  </si>
  <si>
    <t xml:space="preserve">TSK3286</t>
  </si>
  <si>
    <t xml:space="preserve">TSK3287</t>
  </si>
  <si>
    <t xml:space="preserve">TSK3288</t>
  </si>
  <si>
    <t xml:space="preserve">TSK3289</t>
  </si>
  <si>
    <t xml:space="preserve">TSK3290</t>
  </si>
  <si>
    <t xml:space="preserve">TSK3291</t>
  </si>
  <si>
    <t xml:space="preserve">TSK3292</t>
  </si>
  <si>
    <t xml:space="preserve">TSK3293</t>
  </si>
  <si>
    <t xml:space="preserve">TSK3294</t>
  </si>
  <si>
    <t xml:space="preserve">TSK3295</t>
  </si>
  <si>
    <t xml:space="preserve">TSK3296</t>
  </si>
  <si>
    <t xml:space="preserve">TSK3297</t>
  </si>
  <si>
    <t xml:space="preserve">TSK3298</t>
  </si>
  <si>
    <t xml:space="preserve">TSK3299</t>
  </si>
  <si>
    <t xml:space="preserve">invoice_id</t>
  </si>
  <si>
    <t xml:space="preserve">invoice_date</t>
  </si>
  <si>
    <t xml:space="preserve">invoice_amount</t>
  </si>
  <si>
    <t xml:space="preserve">gst</t>
  </si>
  <si>
    <t xml:space="preserve">payment_status</t>
  </si>
  <si>
    <t xml:space="preserve">due_date</t>
  </si>
  <si>
    <t xml:space="preserve">paid_date</t>
  </si>
  <si>
    <t xml:space="preserve">total_amount</t>
  </si>
  <si>
    <t xml:space="preserve">INV4000</t>
  </si>
  <si>
    <t xml:space="preserve">Unpaid</t>
  </si>
  <si>
    <t xml:space="preserve">INV4001</t>
  </si>
  <si>
    <t xml:space="preserve">Paid</t>
  </si>
  <si>
    <t xml:space="preserve">INV4002</t>
  </si>
  <si>
    <t xml:space="preserve">INV4003</t>
  </si>
  <si>
    <t xml:space="preserve">INV4004</t>
  </si>
  <si>
    <t xml:space="preserve">INV4005</t>
  </si>
  <si>
    <t xml:space="preserve">INV4006</t>
  </si>
  <si>
    <t xml:space="preserve">INV4007</t>
  </si>
  <si>
    <t xml:space="preserve">INV4008</t>
  </si>
  <si>
    <t xml:space="preserve">Overdue</t>
  </si>
  <si>
    <t xml:space="preserve">INV4009</t>
  </si>
  <si>
    <t xml:space="preserve">INV4010</t>
  </si>
  <si>
    <t xml:space="preserve">INV4011</t>
  </si>
  <si>
    <t xml:space="preserve">INV4012</t>
  </si>
  <si>
    <t xml:space="preserve">INV4013</t>
  </si>
  <si>
    <t xml:space="preserve">INV4014</t>
  </si>
  <si>
    <t xml:space="preserve">INV4015</t>
  </si>
  <si>
    <t xml:space="preserve">INV4016</t>
  </si>
  <si>
    <t xml:space="preserve">INV4017</t>
  </si>
  <si>
    <t xml:space="preserve">INV4018</t>
  </si>
  <si>
    <t xml:space="preserve">INV4019</t>
  </si>
  <si>
    <t xml:space="preserve">INV4020</t>
  </si>
  <si>
    <t xml:space="preserve">INV4021</t>
  </si>
  <si>
    <t xml:space="preserve">INV4022</t>
  </si>
  <si>
    <t xml:space="preserve">INV4023</t>
  </si>
  <si>
    <t xml:space="preserve">Partially Paid</t>
  </si>
  <si>
    <t xml:space="preserve">INV4024</t>
  </si>
  <si>
    <t xml:space="preserve">INV4025</t>
  </si>
  <si>
    <t xml:space="preserve">INV4026</t>
  </si>
  <si>
    <t xml:space="preserve">INV4027</t>
  </si>
  <si>
    <t xml:space="preserve">INV4028</t>
  </si>
  <si>
    <t xml:space="preserve">INV4029</t>
  </si>
  <si>
    <t xml:space="preserve">INV4030</t>
  </si>
  <si>
    <t xml:space="preserve">INV4031</t>
  </si>
  <si>
    <t xml:space="preserve">INV4032</t>
  </si>
  <si>
    <t xml:space="preserve">INV4033</t>
  </si>
  <si>
    <t xml:space="preserve">INV4034</t>
  </si>
  <si>
    <t xml:space="preserve">INV4035</t>
  </si>
  <si>
    <t xml:space="preserve">INV4036</t>
  </si>
  <si>
    <t xml:space="preserve">INV4037</t>
  </si>
  <si>
    <t xml:space="preserve">INV4038</t>
  </si>
  <si>
    <t xml:space="preserve">INV4039</t>
  </si>
  <si>
    <t xml:space="preserve">INV4040</t>
  </si>
  <si>
    <t xml:space="preserve">INV4041</t>
  </si>
  <si>
    <t xml:space="preserve">INV4042</t>
  </si>
  <si>
    <t xml:space="preserve">INV4043</t>
  </si>
  <si>
    <t xml:space="preserve">INV4044</t>
  </si>
  <si>
    <t xml:space="preserve">INV4045</t>
  </si>
  <si>
    <t xml:space="preserve">INV4046</t>
  </si>
  <si>
    <t xml:space="preserve">INV4047</t>
  </si>
  <si>
    <t xml:space="preserve">INV4048</t>
  </si>
  <si>
    <t xml:space="preserve">INV4049</t>
  </si>
  <si>
    <t xml:space="preserve">INV4050</t>
  </si>
  <si>
    <t xml:space="preserve">INV4051</t>
  </si>
  <si>
    <t xml:space="preserve">INV4052</t>
  </si>
  <si>
    <t xml:space="preserve">INV4053</t>
  </si>
  <si>
    <t xml:space="preserve">INV4054</t>
  </si>
  <si>
    <t xml:space="preserve">INV4055</t>
  </si>
  <si>
    <t xml:space="preserve">INV4056</t>
  </si>
  <si>
    <t xml:space="preserve">INV4057</t>
  </si>
  <si>
    <t xml:space="preserve">INV4058</t>
  </si>
  <si>
    <t xml:space="preserve">INV4059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</si>
</sst>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s&quot;#,##0"/>
    <numFmt numFmtId="166" formatCode="0.0%"/>
    <numFmt numFmtId="167" formatCode="0.0"/>
    <numFmt numFmtId="168" formatCode="0"/>
    <numFmt numFmtId="169" formatCode="General"/>
    <numFmt numFmtId="170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6" t="n">
        <f aca="false">Calc!B3/Calc!B4</f>
        <v>877578.461764706</v>
      </c>
      <c r="D5" s="7" t="n">
        <v>1000000</v>
      </c>
      <c r="E5" s="8" t="str">
        <f aca="false">IF(C5&gt;=D5,"On Track","Below Target")</f>
        <v>Below Target</v>
      </c>
      <c r="F5" s="8" t="s">
        <v>10</v>
      </c>
    </row>
    <row r="6" customFormat="false" ht="15" hidden="false" customHeight="false" outlineLevel="0" collapsed="false">
      <c r="A6" s="4" t="s">
        <v>11</v>
      </c>
      <c r="B6" s="5" t="s">
        <v>12</v>
      </c>
      <c r="C6" s="6" t="n">
        <f aca="false">AVERAGE(Projects!G2:G81)</f>
        <v>1169068.92125</v>
      </c>
      <c r="D6" s="7" t="n">
        <v>1200000</v>
      </c>
      <c r="E6" s="8" t="str">
        <f aca="false">IF(C6&gt;=D6,"On Track","Below Target")</f>
        <v>Below Target</v>
      </c>
      <c r="F6" s="8" t="s">
        <v>10</v>
      </c>
    </row>
    <row r="7" customFormat="false" ht="15" hidden="false" customHeight="false" outlineLevel="0" collapsed="false">
      <c r="A7" s="4" t="s">
        <v>13</v>
      </c>
      <c r="B7" s="5" t="s">
        <v>14</v>
      </c>
      <c r="C7" s="9" t="n">
        <f aca="false">Calc!B5/Calc!B3</f>
        <v>0.516965919222969</v>
      </c>
      <c r="D7" s="10" t="n">
        <v>0.85</v>
      </c>
      <c r="E7" s="8" t="str">
        <f aca="false">IF(C7&gt;=D7,"On Track","Below Target")</f>
        <v>Below Target</v>
      </c>
      <c r="F7" s="8" t="s">
        <v>10</v>
      </c>
    </row>
    <row r="8" customFormat="false" ht="28.35" hidden="false" customHeight="false" outlineLevel="0" collapsed="false">
      <c r="A8" s="4" t="s">
        <v>15</v>
      </c>
      <c r="B8" s="5" t="s">
        <v>16</v>
      </c>
      <c r="C8" s="6" t="n">
        <f aca="false">Calc!B6</f>
        <v>14412610.39</v>
      </c>
      <c r="D8" s="7" t="n">
        <v>500000</v>
      </c>
      <c r="E8" s="8" t="str">
        <f aca="false">IF(C8&lt;=D8,"On Track","Above Target")</f>
        <v>Above Target</v>
      </c>
      <c r="F8" s="8" t="s">
        <v>10</v>
      </c>
    </row>
    <row r="9" customFormat="false" ht="28.35" hidden="false" customHeight="false" outlineLevel="0" collapsed="false">
      <c r="A9" s="4" t="s">
        <v>17</v>
      </c>
      <c r="B9" s="5" t="s">
        <v>18</v>
      </c>
      <c r="C9" s="9" t="n">
        <f aca="false">Calc!B8/Calc!B7</f>
        <v>0.291666666666667</v>
      </c>
      <c r="D9" s="10" t="n">
        <v>0.9</v>
      </c>
      <c r="E9" s="8" t="str">
        <f aca="false">IF(C9&gt;=D9,"On Track","Below Target")</f>
        <v>Below Target</v>
      </c>
      <c r="F9" s="8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11" t="n">
        <f aca="false">Calc!B9/Calc!B10</f>
        <v>141.489361702128</v>
      </c>
      <c r="D10" s="12" t="n">
        <v>120</v>
      </c>
      <c r="E10" s="8" t="str">
        <f aca="false">IF(C10&lt;=D10,"On Track","Above Target")</f>
        <v>Above Target</v>
      </c>
      <c r="F10" s="8" t="s">
        <v>19</v>
      </c>
    </row>
    <row r="11" customFormat="false" ht="28.35" hidden="false" customHeight="false" outlineLevel="0" collapsed="false">
      <c r="A11" s="4" t="s">
        <v>22</v>
      </c>
      <c r="B11" s="5" t="s">
        <v>23</v>
      </c>
      <c r="C11" s="9" t="n">
        <f aca="false">Calc!B12/Calc!B11</f>
        <v>0.2875</v>
      </c>
      <c r="D11" s="10" t="n">
        <v>0.15</v>
      </c>
      <c r="E11" s="8" t="str">
        <f aca="false">IF(C11&lt;=D11,"On Track","Above Target")</f>
        <v>Above Target</v>
      </c>
      <c r="F11" s="8" t="s">
        <v>19</v>
      </c>
    </row>
    <row r="12" customFormat="false" ht="15" hidden="false" customHeight="false" outlineLevel="0" collapsed="false">
      <c r="A12" s="4" t="s">
        <v>24</v>
      </c>
      <c r="B12" s="5" t="s">
        <v>25</v>
      </c>
      <c r="C12" s="9" t="n">
        <f aca="false">Calc!B14/Calc!B13</f>
        <v>0.786666666666667</v>
      </c>
      <c r="D12" s="10" t="n">
        <v>0.85</v>
      </c>
      <c r="E12" s="8" t="str">
        <f aca="false">IF(C12&gt;=D12,"On Track","Below Target")</f>
        <v>Below Target</v>
      </c>
      <c r="F12" s="8" t="s">
        <v>26</v>
      </c>
    </row>
    <row r="13" customFormat="false" ht="15" hidden="false" customHeight="false" outlineLevel="0" collapsed="false">
      <c r="A13" s="4" t="s">
        <v>27</v>
      </c>
      <c r="B13" s="5" t="s">
        <v>28</v>
      </c>
      <c r="C13" s="11" t="n">
        <f aca="false">Calc!B15/Calc!B13</f>
        <v>38.6716666666667</v>
      </c>
      <c r="D13" s="13" t="n">
        <v>35</v>
      </c>
      <c r="E13" s="8" t="str">
        <f aca="false">IF(C13&lt;=D13,"On Track","Above Target")</f>
        <v>Above Target</v>
      </c>
      <c r="F13" s="8" t="s">
        <v>26</v>
      </c>
    </row>
    <row r="14" customFormat="false" ht="15" hidden="false" customHeight="false" outlineLevel="0" collapsed="false">
      <c r="A14" s="4" t="s">
        <v>29</v>
      </c>
      <c r="B14" s="5" t="s">
        <v>30</v>
      </c>
      <c r="C14" s="9" t="n">
        <f aca="false">Calc!B15/Calc!B16</f>
        <v>0.979591664415023</v>
      </c>
      <c r="D14" s="10" t="n">
        <v>0.9</v>
      </c>
      <c r="E14" s="8" t="str">
        <f aca="false">IF(C14&gt;=D14,"On Track","Below Target")</f>
        <v>On Track</v>
      </c>
      <c r="F14" s="8" t="s">
        <v>26</v>
      </c>
    </row>
    <row r="15" customFormat="false" ht="15" hidden="false" customHeight="false" outlineLevel="0" collapsed="false">
      <c r="A15" s="4" t="s">
        <v>31</v>
      </c>
      <c r="B15" s="5" t="s">
        <v>32</v>
      </c>
      <c r="C15" s="9" t="n">
        <f aca="false">Calc!B18/Calc!B17</f>
        <v>0.84</v>
      </c>
      <c r="D15" s="10" t="n">
        <v>0.8</v>
      </c>
      <c r="E15" s="8" t="str">
        <f aca="false">IF(C15&gt;=D15,"On Track","Below Target")</f>
        <v>On Track</v>
      </c>
      <c r="F15" s="8" t="s">
        <v>33</v>
      </c>
    </row>
    <row r="16" customFormat="false" ht="15" hidden="false" customHeight="false" outlineLevel="0" collapsed="false">
      <c r="A16" s="4" t="s">
        <v>34</v>
      </c>
      <c r="B16" s="5" t="s">
        <v>35</v>
      </c>
      <c r="C16" s="11" t="n">
        <f aca="false">AVERAGE(Clients!F2:F51)</f>
        <v>1.6</v>
      </c>
      <c r="D16" s="13" t="n">
        <v>2</v>
      </c>
      <c r="E16" s="8" t="str">
        <f aca="false">IF(C16&gt;=D16,"On Track","Below Target")</f>
        <v>Below Target</v>
      </c>
      <c r="F16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5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3" t="s">
        <v>37</v>
      </c>
      <c r="B2" s="3" t="s">
        <v>38</v>
      </c>
    </row>
    <row r="3" customFormat="false" ht="15" hidden="false" customHeight="false" outlineLevel="0" collapsed="false">
      <c r="A3" s="0" t="s">
        <v>39</v>
      </c>
      <c r="B3" s="14" t="n">
        <f aca="false">SUM(Invoices!I2:I61)</f>
        <v>29837667.7</v>
      </c>
    </row>
    <row r="4" customFormat="false" ht="15" hidden="false" customHeight="false" outlineLevel="0" collapsed="false">
      <c r="A4" s="0" t="s">
        <v>40</v>
      </c>
      <c r="B4" s="14" t="n">
        <f aca="false">DATEDIF(MIN(Invoices!C2:C61),MAX(Invoices!C2:C61),"m")+1</f>
        <v>34</v>
      </c>
    </row>
    <row r="5" customFormat="false" ht="15" hidden="false" customHeight="false" outlineLevel="0" collapsed="false">
      <c r="A5" s="0" t="s">
        <v>41</v>
      </c>
      <c r="B5" s="14" t="n">
        <f aca="false">SUMIF(Invoices!F2:F61,"Paid",Invoices!I2:I61)</f>
        <v>15425057.31</v>
      </c>
    </row>
    <row r="6" customFormat="false" ht="15" hidden="false" customHeight="false" outlineLevel="0" collapsed="false">
      <c r="A6" s="0" t="s">
        <v>42</v>
      </c>
      <c r="B6" s="14" t="n">
        <f aca="false">SUMIF(Invoices!J2:J61,TRUE(),Invoices!I2:I61)</f>
        <v>14412610.39</v>
      </c>
    </row>
    <row r="7" customFormat="false" ht="15" hidden="false" customHeight="false" outlineLevel="0" collapsed="false">
      <c r="A7" s="0" t="s">
        <v>43</v>
      </c>
      <c r="B7" s="14" t="n">
        <f aca="false">COUNTIF(Projects!I2:I81,"Completed")</f>
        <v>48</v>
      </c>
    </row>
    <row r="8" customFormat="false" ht="15" hidden="false" customHeight="false" outlineLevel="0" collapsed="false">
      <c r="A8" s="0" t="s">
        <v>44</v>
      </c>
      <c r="B8" s="14" t="n">
        <f aca="false">SUMPRODUCT((Projects!I2:I81="Completed")*(Projects!F2:F81&lt;&gt;"")*(Projects!F2:F81&lt;=Projects!E2:E81))</f>
        <v>14</v>
      </c>
    </row>
    <row r="9" customFormat="false" ht="15" hidden="false" customHeight="false" outlineLevel="0" collapsed="false">
      <c r="A9" s="0" t="s">
        <v>45</v>
      </c>
      <c r="B9" s="14" t="n">
        <f aca="false">SUMPRODUCT((Projects!I2:I81="Completed")*(Projects!F2:F81&lt;&gt;"")*(Projects!F2:F81-Projects!D2:D81))</f>
        <v>6650</v>
      </c>
    </row>
    <row r="10" customFormat="false" ht="15" hidden="false" customHeight="false" outlineLevel="0" collapsed="false">
      <c r="A10" s="0" t="s">
        <v>46</v>
      </c>
      <c r="B10" s="14" t="n">
        <f aca="false">SUMPRODUCT((Projects!I2:I81="Completed")*(Projects!F2:F81&lt;&gt;"")*1)</f>
        <v>47</v>
      </c>
    </row>
    <row r="11" customFormat="false" ht="15" hidden="false" customHeight="false" outlineLevel="0" collapsed="false">
      <c r="A11" s="0" t="s">
        <v>47</v>
      </c>
      <c r="B11" s="14" t="n">
        <f aca="false">COUNTA(Projects!A2:A81)</f>
        <v>80</v>
      </c>
    </row>
    <row r="12" customFormat="false" ht="15" hidden="false" customHeight="false" outlineLevel="0" collapsed="false">
      <c r="A12" s="0" t="s">
        <v>48</v>
      </c>
      <c r="B12" s="14" t="n">
        <f aca="false">SUMPRODUCT((Projects!H2:H81&gt;Projects!G2:G81)*1)</f>
        <v>23</v>
      </c>
    </row>
    <row r="13" customFormat="false" ht="15" hidden="false" customHeight="false" outlineLevel="0" collapsed="false">
      <c r="A13" s="0" t="s">
        <v>49</v>
      </c>
      <c r="B13" s="14" t="n">
        <f aca="false">COUNTA(Tasks!A2:A301)</f>
        <v>300</v>
      </c>
    </row>
    <row r="14" customFormat="false" ht="15" hidden="false" customHeight="false" outlineLevel="0" collapsed="false">
      <c r="A14" s="0" t="s">
        <v>50</v>
      </c>
      <c r="B14" s="14" t="n">
        <f aca="false">COUNTIF(Tasks!I2:I301,"Completed")</f>
        <v>236</v>
      </c>
    </row>
    <row r="15" customFormat="false" ht="15" hidden="false" customHeight="false" outlineLevel="0" collapsed="false">
      <c r="A15" s="0" t="s">
        <v>51</v>
      </c>
      <c r="B15" s="14" t="n">
        <f aca="false">SUM(Tasks!H2:H301)</f>
        <v>11601.5</v>
      </c>
    </row>
    <row r="16" customFormat="false" ht="15" hidden="false" customHeight="false" outlineLevel="0" collapsed="false">
      <c r="A16" s="0" t="s">
        <v>52</v>
      </c>
      <c r="B16" s="14" t="n">
        <f aca="false">SUM(Tasks!G2:G301)</f>
        <v>11843.2</v>
      </c>
    </row>
    <row r="17" customFormat="false" ht="15" hidden="false" customHeight="false" outlineLevel="0" collapsed="false">
      <c r="A17" s="0" t="s">
        <v>53</v>
      </c>
      <c r="B17" s="14" t="n">
        <f aca="false">COUNTA(Clients!A2:A51)</f>
        <v>50</v>
      </c>
    </row>
    <row r="18" customFormat="false" ht="15" hidden="false" customHeight="false" outlineLevel="0" collapsed="false">
      <c r="A18" s="0" t="s">
        <v>54</v>
      </c>
      <c r="B18" s="14" t="n">
        <f aca="false">COUNTIF(Clients!F2:F51,"&gt;=1")</f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</row>
    <row r="2" customFormat="false" ht="15" hidden="false" customHeight="false" outlineLevel="0" collapsed="false">
      <c r="A2" s="0" t="s">
        <v>62</v>
      </c>
      <c r="B2" s="0" t="s">
        <v>63</v>
      </c>
      <c r="C2" s="0" t="s">
        <v>64</v>
      </c>
      <c r="D2" s="0" t="s">
        <v>65</v>
      </c>
      <c r="E2" s="15" t="n">
        <v>44730</v>
      </c>
      <c r="F2" s="0" t="n">
        <v>1</v>
      </c>
      <c r="G2" s="0" t="n">
        <v>1150740.85</v>
      </c>
    </row>
    <row r="3" customFormat="false" ht="15" hidden="false" customHeight="false" outlineLevel="0" collapsed="false">
      <c r="A3" s="0" t="s">
        <v>66</v>
      </c>
      <c r="B3" s="0" t="s">
        <v>67</v>
      </c>
      <c r="C3" s="0" t="s">
        <v>68</v>
      </c>
      <c r="D3" s="0" t="s">
        <v>69</v>
      </c>
      <c r="E3" s="15" t="n">
        <v>44060</v>
      </c>
      <c r="F3" s="0" t="n">
        <v>2</v>
      </c>
      <c r="G3" s="0" t="n">
        <v>854257.39</v>
      </c>
    </row>
    <row r="4" customFormat="false" ht="15" hidden="false" customHeight="false" outlineLevel="0" collapsed="false">
      <c r="A4" s="0" t="s">
        <v>70</v>
      </c>
      <c r="B4" s="0" t="s">
        <v>71</v>
      </c>
      <c r="C4" s="0" t="s">
        <v>72</v>
      </c>
      <c r="D4" s="0" t="s">
        <v>73</v>
      </c>
      <c r="E4" s="15" t="n">
        <v>45123</v>
      </c>
      <c r="F4" s="0" t="n">
        <v>4</v>
      </c>
      <c r="G4" s="0" t="n">
        <v>489884.4</v>
      </c>
    </row>
    <row r="5" customFormat="false" ht="15" hidden="false" customHeight="false" outlineLevel="0" collapsed="false">
      <c r="A5" s="0" t="s">
        <v>74</v>
      </c>
      <c r="B5" s="0" t="s">
        <v>75</v>
      </c>
      <c r="C5" s="0" t="s">
        <v>76</v>
      </c>
      <c r="D5" s="0" t="s">
        <v>77</v>
      </c>
      <c r="E5" s="15" t="n">
        <v>44102</v>
      </c>
      <c r="F5" s="0" t="n">
        <v>0</v>
      </c>
      <c r="G5" s="0" t="n">
        <v>1492621.23</v>
      </c>
    </row>
    <row r="6" customFormat="false" ht="15" hidden="false" customHeight="false" outlineLevel="0" collapsed="false">
      <c r="A6" s="0" t="s">
        <v>78</v>
      </c>
      <c r="B6" s="0" t="s">
        <v>79</v>
      </c>
      <c r="C6" s="0" t="s">
        <v>68</v>
      </c>
      <c r="D6" s="0" t="s">
        <v>80</v>
      </c>
      <c r="E6" s="15" t="n">
        <v>45119</v>
      </c>
      <c r="F6" s="0" t="n">
        <v>2</v>
      </c>
      <c r="G6" s="0" t="n">
        <v>3173088.66</v>
      </c>
    </row>
    <row r="7" customFormat="false" ht="15" hidden="false" customHeight="false" outlineLevel="0" collapsed="false">
      <c r="A7" s="0" t="s">
        <v>81</v>
      </c>
      <c r="B7" s="0" t="s">
        <v>82</v>
      </c>
      <c r="C7" s="0" t="s">
        <v>64</v>
      </c>
      <c r="D7" s="0" t="s">
        <v>80</v>
      </c>
      <c r="E7" s="15" t="n">
        <v>45451</v>
      </c>
      <c r="F7" s="0" t="n">
        <v>3</v>
      </c>
      <c r="G7" s="0" t="n">
        <v>209383.83</v>
      </c>
    </row>
    <row r="8" customFormat="false" ht="15" hidden="false" customHeight="false" outlineLevel="0" collapsed="false">
      <c r="A8" s="0" t="s">
        <v>83</v>
      </c>
      <c r="B8" s="0" t="s">
        <v>84</v>
      </c>
      <c r="C8" s="0" t="s">
        <v>85</v>
      </c>
      <c r="D8" s="0" t="s">
        <v>86</v>
      </c>
      <c r="E8" s="15" t="n">
        <v>44416</v>
      </c>
      <c r="F8" s="0" t="n">
        <v>1</v>
      </c>
      <c r="G8" s="0" t="n">
        <v>0</v>
      </c>
    </row>
    <row r="9" customFormat="false" ht="15" hidden="false" customHeight="false" outlineLevel="0" collapsed="false">
      <c r="A9" s="0" t="s">
        <v>87</v>
      </c>
      <c r="B9" s="0" t="s">
        <v>88</v>
      </c>
      <c r="C9" s="0" t="s">
        <v>89</v>
      </c>
      <c r="D9" s="0" t="s">
        <v>90</v>
      </c>
      <c r="E9" s="15" t="n">
        <v>44841</v>
      </c>
      <c r="F9" s="0" t="n">
        <v>2</v>
      </c>
      <c r="G9" s="0" t="n">
        <v>0</v>
      </c>
    </row>
    <row r="10" customFormat="false" ht="15" hidden="false" customHeight="false" outlineLevel="0" collapsed="false">
      <c r="A10" s="0" t="s">
        <v>91</v>
      </c>
      <c r="B10" s="0" t="s">
        <v>92</v>
      </c>
      <c r="C10" s="0" t="s">
        <v>89</v>
      </c>
      <c r="D10" s="0" t="s">
        <v>77</v>
      </c>
      <c r="E10" s="15" t="n">
        <v>44907</v>
      </c>
      <c r="F10" s="0" t="n">
        <v>2</v>
      </c>
      <c r="G10" s="0" t="n">
        <v>80360.31</v>
      </c>
    </row>
    <row r="11" customFormat="false" ht="15" hidden="false" customHeight="false" outlineLevel="0" collapsed="false">
      <c r="A11" s="0" t="s">
        <v>93</v>
      </c>
      <c r="B11" s="0" t="s">
        <v>94</v>
      </c>
      <c r="C11" s="0" t="s">
        <v>95</v>
      </c>
      <c r="D11" s="0" t="s">
        <v>96</v>
      </c>
      <c r="E11" s="15" t="n">
        <v>45585</v>
      </c>
      <c r="F11" s="0" t="n">
        <v>2</v>
      </c>
      <c r="G11" s="0" t="n">
        <v>0</v>
      </c>
    </row>
    <row r="12" customFormat="false" ht="15" hidden="false" customHeight="false" outlineLevel="0" collapsed="false">
      <c r="A12" s="0" t="s">
        <v>97</v>
      </c>
      <c r="B12" s="0" t="s">
        <v>98</v>
      </c>
      <c r="C12" s="0" t="s">
        <v>68</v>
      </c>
      <c r="D12" s="0" t="s">
        <v>86</v>
      </c>
      <c r="E12" s="15" t="n">
        <v>45313</v>
      </c>
      <c r="F12" s="0" t="n">
        <v>1</v>
      </c>
      <c r="G12" s="0" t="n">
        <v>763382.97</v>
      </c>
    </row>
    <row r="13" customFormat="false" ht="15" hidden="false" customHeight="false" outlineLevel="0" collapsed="false">
      <c r="A13" s="0" t="s">
        <v>99</v>
      </c>
      <c r="B13" s="0" t="s">
        <v>100</v>
      </c>
      <c r="C13" s="0" t="s">
        <v>101</v>
      </c>
      <c r="D13" s="0" t="s">
        <v>102</v>
      </c>
      <c r="E13" s="15" t="n">
        <v>45918</v>
      </c>
      <c r="F13" s="0" t="n">
        <v>0</v>
      </c>
      <c r="G13" s="0" t="n">
        <v>2248114.24</v>
      </c>
    </row>
    <row r="14" customFormat="false" ht="15" hidden="false" customHeight="false" outlineLevel="0" collapsed="false">
      <c r="A14" s="0" t="s">
        <v>103</v>
      </c>
      <c r="B14" s="0" t="s">
        <v>104</v>
      </c>
      <c r="C14" s="0" t="s">
        <v>76</v>
      </c>
      <c r="D14" s="0" t="s">
        <v>86</v>
      </c>
      <c r="E14" s="15" t="n">
        <v>44270</v>
      </c>
      <c r="F14" s="0" t="n">
        <v>1</v>
      </c>
      <c r="G14" s="0" t="n">
        <v>0</v>
      </c>
    </row>
    <row r="15" customFormat="false" ht="15" hidden="false" customHeight="false" outlineLevel="0" collapsed="false">
      <c r="A15" s="0" t="s">
        <v>105</v>
      </c>
      <c r="B15" s="0" t="s">
        <v>106</v>
      </c>
      <c r="C15" s="0" t="s">
        <v>64</v>
      </c>
      <c r="D15" s="0" t="s">
        <v>96</v>
      </c>
      <c r="E15" s="15" t="n">
        <v>44486</v>
      </c>
      <c r="F15" s="0" t="n">
        <v>1</v>
      </c>
      <c r="G15" s="0" t="n">
        <v>324340.97</v>
      </c>
    </row>
    <row r="16" customFormat="false" ht="15" hidden="false" customHeight="false" outlineLevel="0" collapsed="false">
      <c r="A16" s="0" t="s">
        <v>107</v>
      </c>
      <c r="B16" s="0" t="s">
        <v>108</v>
      </c>
      <c r="C16" s="0" t="s">
        <v>72</v>
      </c>
      <c r="D16" s="0" t="s">
        <v>96</v>
      </c>
      <c r="E16" s="15" t="n">
        <v>44091</v>
      </c>
      <c r="F16" s="0" t="n">
        <v>4</v>
      </c>
      <c r="G16" s="0" t="n">
        <v>781709.01</v>
      </c>
    </row>
    <row r="17" customFormat="false" ht="15" hidden="false" customHeight="false" outlineLevel="0" collapsed="false">
      <c r="A17" s="0" t="s">
        <v>109</v>
      </c>
      <c r="B17" s="0" t="s">
        <v>110</v>
      </c>
      <c r="C17" s="0" t="s">
        <v>111</v>
      </c>
      <c r="D17" s="0" t="s">
        <v>73</v>
      </c>
      <c r="E17" s="15" t="n">
        <v>45748</v>
      </c>
      <c r="F17" s="0" t="n">
        <v>0</v>
      </c>
      <c r="G17" s="0" t="n">
        <v>1173979.01</v>
      </c>
    </row>
    <row r="18" customFormat="false" ht="15" hidden="false" customHeight="false" outlineLevel="0" collapsed="false">
      <c r="A18" s="0" t="s">
        <v>112</v>
      </c>
      <c r="B18" s="0" t="s">
        <v>113</v>
      </c>
      <c r="C18" s="0" t="s">
        <v>64</v>
      </c>
      <c r="D18" s="0" t="s">
        <v>102</v>
      </c>
      <c r="E18" s="15" t="n">
        <v>43878</v>
      </c>
      <c r="F18" s="0" t="n">
        <v>2</v>
      </c>
      <c r="G18" s="0" t="n">
        <v>668547.84</v>
      </c>
    </row>
    <row r="19" customFormat="false" ht="15" hidden="false" customHeight="false" outlineLevel="0" collapsed="false">
      <c r="A19" s="0" t="s">
        <v>114</v>
      </c>
      <c r="B19" s="0" t="s">
        <v>115</v>
      </c>
      <c r="C19" s="0" t="s">
        <v>64</v>
      </c>
      <c r="D19" s="0" t="s">
        <v>65</v>
      </c>
      <c r="E19" s="15" t="n">
        <v>44923</v>
      </c>
      <c r="F19" s="0" t="n">
        <v>0</v>
      </c>
      <c r="G19" s="0" t="n">
        <v>331944.15</v>
      </c>
    </row>
    <row r="20" customFormat="false" ht="15" hidden="false" customHeight="false" outlineLevel="0" collapsed="false">
      <c r="A20" s="0" t="s">
        <v>116</v>
      </c>
      <c r="B20" s="0" t="s">
        <v>117</v>
      </c>
      <c r="C20" s="0" t="s">
        <v>85</v>
      </c>
      <c r="D20" s="0" t="s">
        <v>96</v>
      </c>
      <c r="E20" s="15" t="n">
        <v>44287</v>
      </c>
      <c r="F20" s="0" t="n">
        <v>1</v>
      </c>
      <c r="G20" s="0" t="n">
        <v>0</v>
      </c>
    </row>
    <row r="21" customFormat="false" ht="15" hidden="false" customHeight="false" outlineLevel="0" collapsed="false">
      <c r="A21" s="0" t="s">
        <v>118</v>
      </c>
      <c r="B21" s="0" t="s">
        <v>119</v>
      </c>
      <c r="C21" s="0" t="s">
        <v>101</v>
      </c>
      <c r="D21" s="0" t="s">
        <v>69</v>
      </c>
      <c r="E21" s="15" t="n">
        <v>44478</v>
      </c>
      <c r="F21" s="0" t="n">
        <v>2</v>
      </c>
      <c r="G21" s="0" t="n">
        <v>362559.05</v>
      </c>
    </row>
    <row r="22" customFormat="false" ht="15" hidden="false" customHeight="false" outlineLevel="0" collapsed="false">
      <c r="A22" s="0" t="s">
        <v>120</v>
      </c>
      <c r="B22" s="0" t="s">
        <v>121</v>
      </c>
      <c r="C22" s="0" t="s">
        <v>111</v>
      </c>
      <c r="D22" s="0" t="s">
        <v>86</v>
      </c>
      <c r="E22" s="15" t="n">
        <v>44909</v>
      </c>
      <c r="F22" s="0" t="n">
        <v>1</v>
      </c>
      <c r="G22" s="0" t="n">
        <v>1466406.75</v>
      </c>
    </row>
    <row r="23" customFormat="false" ht="15" hidden="false" customHeight="false" outlineLevel="0" collapsed="false">
      <c r="A23" s="0" t="s">
        <v>122</v>
      </c>
      <c r="B23" s="0" t="s">
        <v>123</v>
      </c>
      <c r="C23" s="0" t="s">
        <v>76</v>
      </c>
      <c r="D23" s="0" t="s">
        <v>73</v>
      </c>
      <c r="E23" s="15" t="n">
        <v>45910</v>
      </c>
      <c r="F23" s="0" t="n">
        <v>2</v>
      </c>
      <c r="G23" s="0" t="n">
        <v>0</v>
      </c>
    </row>
    <row r="24" customFormat="false" ht="15" hidden="false" customHeight="false" outlineLevel="0" collapsed="false">
      <c r="A24" s="0" t="s">
        <v>124</v>
      </c>
      <c r="B24" s="0" t="s">
        <v>125</v>
      </c>
      <c r="C24" s="0" t="s">
        <v>95</v>
      </c>
      <c r="D24" s="0" t="s">
        <v>90</v>
      </c>
      <c r="E24" s="15" t="n">
        <v>45910</v>
      </c>
      <c r="F24" s="0" t="n">
        <v>1</v>
      </c>
      <c r="G24" s="0" t="n">
        <v>0</v>
      </c>
    </row>
    <row r="25" customFormat="false" ht="15" hidden="false" customHeight="false" outlineLevel="0" collapsed="false">
      <c r="A25" s="0" t="s">
        <v>126</v>
      </c>
      <c r="B25" s="0" t="s">
        <v>127</v>
      </c>
      <c r="C25" s="0" t="s">
        <v>128</v>
      </c>
      <c r="D25" s="0" t="s">
        <v>86</v>
      </c>
      <c r="E25" s="15" t="n">
        <v>44457</v>
      </c>
      <c r="F25" s="0" t="n">
        <v>0</v>
      </c>
      <c r="G25" s="0" t="n">
        <v>0</v>
      </c>
    </row>
    <row r="26" customFormat="false" ht="15" hidden="false" customHeight="false" outlineLevel="0" collapsed="false">
      <c r="A26" s="0" t="s">
        <v>129</v>
      </c>
      <c r="B26" s="0" t="s">
        <v>130</v>
      </c>
      <c r="C26" s="0" t="s">
        <v>131</v>
      </c>
      <c r="D26" s="0" t="s">
        <v>77</v>
      </c>
      <c r="E26" s="15" t="n">
        <v>46003</v>
      </c>
      <c r="F26" s="0" t="n">
        <v>2</v>
      </c>
      <c r="G26" s="0" t="n">
        <v>524774.19</v>
      </c>
    </row>
    <row r="27" customFormat="false" ht="15" hidden="false" customHeight="false" outlineLevel="0" collapsed="false">
      <c r="A27" s="0" t="s">
        <v>132</v>
      </c>
      <c r="B27" s="0" t="s">
        <v>133</v>
      </c>
      <c r="C27" s="0" t="s">
        <v>101</v>
      </c>
      <c r="D27" s="0" t="s">
        <v>69</v>
      </c>
      <c r="E27" s="15" t="n">
        <v>45158</v>
      </c>
      <c r="F27" s="0" t="n">
        <v>0</v>
      </c>
      <c r="G27" s="0" t="n">
        <v>0</v>
      </c>
    </row>
    <row r="28" customFormat="false" ht="15" hidden="false" customHeight="false" outlineLevel="0" collapsed="false">
      <c r="A28" s="0" t="s">
        <v>134</v>
      </c>
      <c r="B28" s="0" t="s">
        <v>135</v>
      </c>
      <c r="C28" s="0" t="s">
        <v>128</v>
      </c>
      <c r="D28" s="0" t="s">
        <v>73</v>
      </c>
      <c r="E28" s="15" t="n">
        <v>44289</v>
      </c>
      <c r="F28" s="0" t="n">
        <v>3</v>
      </c>
      <c r="G28" s="0" t="n">
        <v>353367.77</v>
      </c>
    </row>
    <row r="29" customFormat="false" ht="15" hidden="false" customHeight="false" outlineLevel="0" collapsed="false">
      <c r="A29" s="0" t="s">
        <v>136</v>
      </c>
      <c r="B29" s="0" t="s">
        <v>137</v>
      </c>
      <c r="C29" s="0" t="s">
        <v>131</v>
      </c>
      <c r="D29" s="0" t="s">
        <v>90</v>
      </c>
      <c r="E29" s="15" t="n">
        <v>44811</v>
      </c>
      <c r="F29" s="0" t="n">
        <v>1</v>
      </c>
      <c r="G29" s="0" t="n">
        <v>221224.7</v>
      </c>
    </row>
    <row r="30" customFormat="false" ht="15" hidden="false" customHeight="false" outlineLevel="0" collapsed="false">
      <c r="A30" s="0" t="s">
        <v>138</v>
      </c>
      <c r="B30" s="0" t="s">
        <v>139</v>
      </c>
      <c r="C30" s="0" t="s">
        <v>76</v>
      </c>
      <c r="D30" s="0" t="s">
        <v>80</v>
      </c>
      <c r="E30" s="15" t="n">
        <v>44153</v>
      </c>
      <c r="F30" s="0" t="n">
        <v>2</v>
      </c>
      <c r="G30" s="0" t="n">
        <v>856336.98</v>
      </c>
    </row>
    <row r="31" customFormat="false" ht="15" hidden="false" customHeight="false" outlineLevel="0" collapsed="false">
      <c r="A31" s="0" t="s">
        <v>140</v>
      </c>
      <c r="B31" s="0" t="s">
        <v>141</v>
      </c>
      <c r="C31" s="0" t="s">
        <v>111</v>
      </c>
      <c r="D31" s="0" t="s">
        <v>86</v>
      </c>
      <c r="E31" s="15" t="n">
        <v>44114</v>
      </c>
      <c r="F31" s="0" t="n">
        <v>2</v>
      </c>
      <c r="G31" s="0" t="n">
        <v>0</v>
      </c>
    </row>
    <row r="32" customFormat="false" ht="15" hidden="false" customHeight="false" outlineLevel="0" collapsed="false">
      <c r="A32" s="0" t="s">
        <v>142</v>
      </c>
      <c r="B32" s="0" t="s">
        <v>143</v>
      </c>
      <c r="C32" s="0" t="s">
        <v>64</v>
      </c>
      <c r="D32" s="0" t="s">
        <v>80</v>
      </c>
      <c r="E32" s="15" t="n">
        <v>44356</v>
      </c>
      <c r="F32" s="0" t="n">
        <v>1</v>
      </c>
      <c r="G32" s="0" t="n">
        <v>0</v>
      </c>
    </row>
    <row r="33" customFormat="false" ht="15" hidden="false" customHeight="false" outlineLevel="0" collapsed="false">
      <c r="A33" s="0" t="s">
        <v>144</v>
      </c>
      <c r="B33" s="0" t="s">
        <v>145</v>
      </c>
      <c r="C33" s="0" t="s">
        <v>85</v>
      </c>
      <c r="D33" s="0" t="s">
        <v>146</v>
      </c>
      <c r="E33" s="15" t="n">
        <v>44507</v>
      </c>
      <c r="F33" s="0" t="n">
        <v>1</v>
      </c>
      <c r="G33" s="0" t="n">
        <v>600549.69</v>
      </c>
    </row>
    <row r="34" customFormat="false" ht="15" hidden="false" customHeight="false" outlineLevel="0" collapsed="false">
      <c r="A34" s="0" t="s">
        <v>147</v>
      </c>
      <c r="B34" s="0" t="s">
        <v>148</v>
      </c>
      <c r="C34" s="0" t="s">
        <v>68</v>
      </c>
      <c r="D34" s="0" t="s">
        <v>146</v>
      </c>
      <c r="E34" s="15" t="n">
        <v>45564</v>
      </c>
      <c r="F34" s="0" t="n">
        <v>1</v>
      </c>
      <c r="G34" s="0" t="n">
        <v>968199.5</v>
      </c>
    </row>
    <row r="35" customFormat="false" ht="15" hidden="false" customHeight="false" outlineLevel="0" collapsed="false">
      <c r="A35" s="0" t="s">
        <v>149</v>
      </c>
      <c r="B35" s="0" t="s">
        <v>150</v>
      </c>
      <c r="C35" s="0" t="s">
        <v>89</v>
      </c>
      <c r="D35" s="0" t="s">
        <v>73</v>
      </c>
      <c r="E35" s="15" t="n">
        <v>44805</v>
      </c>
      <c r="F35" s="0" t="n">
        <v>2</v>
      </c>
      <c r="G35" s="0" t="n">
        <v>1786447.86</v>
      </c>
    </row>
    <row r="36" customFormat="false" ht="15" hidden="false" customHeight="false" outlineLevel="0" collapsed="false">
      <c r="A36" s="0" t="s">
        <v>151</v>
      </c>
      <c r="B36" s="0" t="s">
        <v>152</v>
      </c>
      <c r="C36" s="0" t="s">
        <v>64</v>
      </c>
      <c r="D36" s="0" t="s">
        <v>65</v>
      </c>
      <c r="E36" s="15" t="n">
        <v>45465</v>
      </c>
      <c r="F36" s="0" t="n">
        <v>2</v>
      </c>
      <c r="G36" s="0" t="n">
        <v>896886.67</v>
      </c>
    </row>
    <row r="37" customFormat="false" ht="15" hidden="false" customHeight="false" outlineLevel="0" collapsed="false">
      <c r="A37" s="0" t="s">
        <v>153</v>
      </c>
      <c r="B37" s="0" t="s">
        <v>154</v>
      </c>
      <c r="C37" s="0" t="s">
        <v>111</v>
      </c>
      <c r="D37" s="0" t="s">
        <v>80</v>
      </c>
      <c r="E37" s="15" t="n">
        <v>45625</v>
      </c>
      <c r="F37" s="0" t="n">
        <v>5</v>
      </c>
      <c r="G37" s="0" t="n">
        <v>812017.98</v>
      </c>
    </row>
    <row r="38" customFormat="false" ht="15" hidden="false" customHeight="false" outlineLevel="0" collapsed="false">
      <c r="A38" s="0" t="s">
        <v>155</v>
      </c>
      <c r="B38" s="0" t="s">
        <v>156</v>
      </c>
      <c r="C38" s="0" t="s">
        <v>68</v>
      </c>
      <c r="D38" s="0" t="s">
        <v>90</v>
      </c>
      <c r="E38" s="15" t="n">
        <v>44326</v>
      </c>
      <c r="F38" s="0" t="n">
        <v>1</v>
      </c>
      <c r="G38" s="0" t="n">
        <v>1294689.18</v>
      </c>
    </row>
    <row r="39" customFormat="false" ht="15" hidden="false" customHeight="false" outlineLevel="0" collapsed="false">
      <c r="A39" s="0" t="s">
        <v>157</v>
      </c>
      <c r="B39" s="0" t="s">
        <v>158</v>
      </c>
      <c r="C39" s="0" t="s">
        <v>128</v>
      </c>
      <c r="D39" s="0" t="s">
        <v>69</v>
      </c>
      <c r="E39" s="15" t="n">
        <v>44093</v>
      </c>
      <c r="F39" s="0" t="n">
        <v>2</v>
      </c>
      <c r="G39" s="0" t="n">
        <v>0</v>
      </c>
    </row>
    <row r="40" customFormat="false" ht="15" hidden="false" customHeight="false" outlineLevel="0" collapsed="false">
      <c r="A40" s="0" t="s">
        <v>159</v>
      </c>
      <c r="B40" s="0" t="s">
        <v>160</v>
      </c>
      <c r="C40" s="0" t="s">
        <v>95</v>
      </c>
      <c r="D40" s="0" t="s">
        <v>90</v>
      </c>
      <c r="E40" s="15" t="n">
        <v>44773</v>
      </c>
      <c r="F40" s="0" t="n">
        <v>1</v>
      </c>
      <c r="G40" s="0" t="n">
        <v>848061.91</v>
      </c>
    </row>
    <row r="41" customFormat="false" ht="15" hidden="false" customHeight="false" outlineLevel="0" collapsed="false">
      <c r="A41" s="0" t="s">
        <v>161</v>
      </c>
      <c r="B41" s="0" t="s">
        <v>162</v>
      </c>
      <c r="C41" s="0" t="s">
        <v>76</v>
      </c>
      <c r="D41" s="0" t="s">
        <v>69</v>
      </c>
      <c r="E41" s="15" t="n">
        <v>43860</v>
      </c>
      <c r="F41" s="0" t="n">
        <v>2</v>
      </c>
      <c r="G41" s="0" t="n">
        <v>636659.64</v>
      </c>
    </row>
    <row r="42" customFormat="false" ht="15" hidden="false" customHeight="false" outlineLevel="0" collapsed="false">
      <c r="A42" s="0" t="s">
        <v>163</v>
      </c>
      <c r="B42" s="0" t="s">
        <v>164</v>
      </c>
      <c r="C42" s="0" t="s">
        <v>76</v>
      </c>
      <c r="D42" s="0" t="s">
        <v>69</v>
      </c>
      <c r="E42" s="15" t="n">
        <v>44768</v>
      </c>
      <c r="F42" s="0" t="n">
        <v>2</v>
      </c>
      <c r="G42" s="0" t="n">
        <v>0</v>
      </c>
    </row>
    <row r="43" customFormat="false" ht="15" hidden="false" customHeight="false" outlineLevel="0" collapsed="false">
      <c r="A43" s="0" t="s">
        <v>165</v>
      </c>
      <c r="B43" s="0" t="s">
        <v>166</v>
      </c>
      <c r="C43" s="0" t="s">
        <v>76</v>
      </c>
      <c r="D43" s="0" t="s">
        <v>146</v>
      </c>
      <c r="E43" s="15" t="n">
        <v>45184</v>
      </c>
      <c r="F43" s="0" t="n">
        <v>0</v>
      </c>
      <c r="G43" s="0" t="n">
        <v>1285647.9</v>
      </c>
    </row>
    <row r="44" customFormat="false" ht="15" hidden="false" customHeight="false" outlineLevel="0" collapsed="false">
      <c r="A44" s="0" t="s">
        <v>167</v>
      </c>
      <c r="B44" s="0" t="s">
        <v>168</v>
      </c>
      <c r="C44" s="0" t="s">
        <v>85</v>
      </c>
      <c r="D44" s="0" t="s">
        <v>80</v>
      </c>
      <c r="E44" s="15" t="n">
        <v>44805</v>
      </c>
      <c r="F44" s="0" t="n">
        <v>2</v>
      </c>
      <c r="G44" s="0" t="n">
        <v>0</v>
      </c>
    </row>
    <row r="45" customFormat="false" ht="15" hidden="false" customHeight="false" outlineLevel="0" collapsed="false">
      <c r="A45" s="0" t="s">
        <v>169</v>
      </c>
      <c r="B45" s="0" t="s">
        <v>170</v>
      </c>
      <c r="C45" s="0" t="s">
        <v>111</v>
      </c>
      <c r="D45" s="0" t="s">
        <v>86</v>
      </c>
      <c r="E45" s="15" t="n">
        <v>44708</v>
      </c>
      <c r="F45" s="0" t="n">
        <v>1</v>
      </c>
      <c r="G45" s="0" t="n">
        <v>1370420.38</v>
      </c>
    </row>
    <row r="46" customFormat="false" ht="15" hidden="false" customHeight="false" outlineLevel="0" collapsed="false">
      <c r="A46" s="0" t="s">
        <v>171</v>
      </c>
      <c r="B46" s="0" t="s">
        <v>172</v>
      </c>
      <c r="C46" s="0" t="s">
        <v>68</v>
      </c>
      <c r="D46" s="0" t="s">
        <v>80</v>
      </c>
      <c r="E46" s="15" t="n">
        <v>45767</v>
      </c>
      <c r="F46" s="0" t="n">
        <v>2</v>
      </c>
      <c r="G46" s="0" t="n">
        <v>0</v>
      </c>
    </row>
    <row r="47" customFormat="false" ht="15" hidden="false" customHeight="false" outlineLevel="0" collapsed="false">
      <c r="A47" s="0" t="s">
        <v>173</v>
      </c>
      <c r="B47" s="0" t="s">
        <v>174</v>
      </c>
      <c r="C47" s="0" t="s">
        <v>68</v>
      </c>
      <c r="D47" s="0" t="s">
        <v>102</v>
      </c>
      <c r="E47" s="15" t="n">
        <v>45498</v>
      </c>
      <c r="F47" s="0" t="n">
        <v>0</v>
      </c>
      <c r="G47" s="0" t="n">
        <v>64005.81</v>
      </c>
    </row>
    <row r="48" customFormat="false" ht="15" hidden="false" customHeight="false" outlineLevel="0" collapsed="false">
      <c r="A48" s="0" t="s">
        <v>175</v>
      </c>
      <c r="B48" s="0" t="s">
        <v>176</v>
      </c>
      <c r="C48" s="0" t="s">
        <v>64</v>
      </c>
      <c r="D48" s="0" t="s">
        <v>96</v>
      </c>
      <c r="E48" s="15" t="n">
        <v>44228</v>
      </c>
      <c r="F48" s="0" t="n">
        <v>2</v>
      </c>
      <c r="G48" s="0" t="n">
        <v>395338.83</v>
      </c>
    </row>
    <row r="49" customFormat="false" ht="15" hidden="false" customHeight="false" outlineLevel="0" collapsed="false">
      <c r="A49" s="0" t="s">
        <v>177</v>
      </c>
      <c r="B49" s="0" t="s">
        <v>178</v>
      </c>
      <c r="C49" s="0" t="s">
        <v>72</v>
      </c>
      <c r="D49" s="0" t="s">
        <v>96</v>
      </c>
      <c r="E49" s="15" t="n">
        <v>45282</v>
      </c>
      <c r="F49" s="0" t="n">
        <v>2</v>
      </c>
      <c r="G49" s="0" t="n">
        <v>0</v>
      </c>
    </row>
    <row r="50" customFormat="false" ht="15" hidden="false" customHeight="false" outlineLevel="0" collapsed="false">
      <c r="A50" s="0" t="s">
        <v>179</v>
      </c>
      <c r="B50" s="0" t="s">
        <v>180</v>
      </c>
      <c r="C50" s="0" t="s">
        <v>89</v>
      </c>
      <c r="D50" s="0" t="s">
        <v>69</v>
      </c>
      <c r="E50" s="15" t="n">
        <v>45743</v>
      </c>
      <c r="F50" s="0" t="n">
        <v>4</v>
      </c>
      <c r="G50" s="0" t="n">
        <v>666661.28</v>
      </c>
    </row>
    <row r="51" customFormat="false" ht="15" hidden="false" customHeight="false" outlineLevel="0" collapsed="false">
      <c r="A51" s="0" t="s">
        <v>181</v>
      </c>
      <c r="B51" s="0" t="s">
        <v>182</v>
      </c>
      <c r="C51" s="0" t="s">
        <v>131</v>
      </c>
      <c r="D51" s="0" t="s">
        <v>96</v>
      </c>
      <c r="E51" s="15" t="n">
        <v>44234</v>
      </c>
      <c r="F51" s="0" t="n">
        <v>2</v>
      </c>
      <c r="G51" s="0" t="n">
        <v>685056.77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1"/>
    <col collapsed="false" customWidth="true" hidden="false" outlineLevel="0" max="3" min="3" style="0" width="20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24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3" t="s">
        <v>183</v>
      </c>
      <c r="B1" s="3" t="s">
        <v>184</v>
      </c>
      <c r="C1" s="3" t="s">
        <v>56</v>
      </c>
      <c r="D1" s="3" t="s">
        <v>185</v>
      </c>
      <c r="E1" s="3" t="s">
        <v>186</v>
      </c>
      <c r="F1" s="3" t="s">
        <v>187</v>
      </c>
      <c r="G1" s="3" t="s">
        <v>188</v>
      </c>
      <c r="H1" s="3" t="s">
        <v>189</v>
      </c>
      <c r="I1" s="3" t="s">
        <v>190</v>
      </c>
      <c r="J1" s="3" t="s">
        <v>191</v>
      </c>
      <c r="K1" s="3" t="s">
        <v>192</v>
      </c>
    </row>
    <row r="2" customFormat="false" ht="15" hidden="false" customHeight="false" outlineLevel="0" collapsed="false">
      <c r="A2" s="0" t="s">
        <v>193</v>
      </c>
      <c r="B2" s="0" t="s">
        <v>194</v>
      </c>
      <c r="C2" s="0" t="s">
        <v>176</v>
      </c>
      <c r="D2" s="15" t="n">
        <v>45256</v>
      </c>
      <c r="E2" s="15" t="n">
        <v>45490</v>
      </c>
      <c r="F2" s="15"/>
      <c r="G2" s="0" t="n">
        <v>659208.02</v>
      </c>
      <c r="H2" s="0" t="n">
        <v>37616.17</v>
      </c>
      <c r="I2" s="16" t="s">
        <v>195</v>
      </c>
      <c r="J2" s="0" t="n">
        <v>5.71</v>
      </c>
      <c r="K2" s="17" t="b">
        <f aca="false">FALSE()</f>
        <v>0</v>
      </c>
    </row>
    <row r="3" customFormat="false" ht="15" hidden="false" customHeight="false" outlineLevel="0" collapsed="false">
      <c r="A3" s="0" t="s">
        <v>196</v>
      </c>
      <c r="B3" s="0" t="s">
        <v>197</v>
      </c>
      <c r="C3" s="0" t="s">
        <v>92</v>
      </c>
      <c r="D3" s="15" t="n">
        <v>45426</v>
      </c>
      <c r="E3" s="15" t="n">
        <v>45502</v>
      </c>
      <c r="F3" s="15" t="n">
        <v>45502</v>
      </c>
      <c r="G3" s="0" t="n">
        <v>2192490.59</v>
      </c>
      <c r="H3" s="0" t="n">
        <v>1609119.71</v>
      </c>
      <c r="I3" s="16" t="s">
        <v>198</v>
      </c>
      <c r="J3" s="0" t="n">
        <v>73.39</v>
      </c>
      <c r="K3" s="17" t="b">
        <f aca="false">FALSE()</f>
        <v>0</v>
      </c>
    </row>
    <row r="4" customFormat="false" ht="15" hidden="false" customHeight="false" outlineLevel="0" collapsed="false">
      <c r="A4" s="0" t="s">
        <v>199</v>
      </c>
      <c r="B4" s="0" t="s">
        <v>200</v>
      </c>
      <c r="C4" s="0" t="s">
        <v>154</v>
      </c>
      <c r="D4" s="15" t="n">
        <v>44762</v>
      </c>
      <c r="E4" s="15" t="n">
        <v>44804</v>
      </c>
      <c r="F4" s="15"/>
      <c r="G4" s="0" t="n">
        <v>1374440.45</v>
      </c>
      <c r="H4" s="0" t="n">
        <v>151642.7</v>
      </c>
      <c r="I4" s="16" t="s">
        <v>201</v>
      </c>
      <c r="J4" s="0" t="n">
        <v>11.03</v>
      </c>
      <c r="K4" s="17" t="b">
        <f aca="false">TRUE()</f>
        <v>1</v>
      </c>
    </row>
    <row r="5" customFormat="false" ht="15" hidden="false" customHeight="false" outlineLevel="0" collapsed="false">
      <c r="A5" s="0" t="s">
        <v>202</v>
      </c>
      <c r="B5" s="0" t="s">
        <v>203</v>
      </c>
      <c r="C5" s="0" t="s">
        <v>180</v>
      </c>
      <c r="D5" s="15" t="n">
        <v>45046</v>
      </c>
      <c r="E5" s="15" t="n">
        <v>45118</v>
      </c>
      <c r="F5" s="15" t="n">
        <v>45133</v>
      </c>
      <c r="G5" s="0" t="n">
        <v>573680.88</v>
      </c>
      <c r="H5" s="0" t="n">
        <v>505107.73</v>
      </c>
      <c r="I5" s="16" t="s">
        <v>198</v>
      </c>
      <c r="J5" s="0" t="n">
        <v>88.05</v>
      </c>
      <c r="K5" s="17" t="b">
        <f aca="false">FALSE()</f>
        <v>0</v>
      </c>
    </row>
    <row r="6" customFormat="false" ht="15" hidden="false" customHeight="false" outlineLevel="0" collapsed="false">
      <c r="A6" s="0" t="s">
        <v>204</v>
      </c>
      <c r="B6" s="0" t="s">
        <v>205</v>
      </c>
      <c r="C6" s="0" t="s">
        <v>98</v>
      </c>
      <c r="D6" s="15" t="n">
        <v>45338</v>
      </c>
      <c r="E6" s="15" t="n">
        <v>45368</v>
      </c>
      <c r="F6" s="15" t="n">
        <v>45394</v>
      </c>
      <c r="G6" s="0" t="n">
        <v>2319969.28</v>
      </c>
      <c r="H6" s="0" t="n">
        <v>2443642.69</v>
      </c>
      <c r="I6" s="16" t="s">
        <v>206</v>
      </c>
      <c r="J6" s="0" t="n">
        <v>105.33</v>
      </c>
      <c r="K6" s="17" t="b">
        <f aca="false">TRUE()</f>
        <v>1</v>
      </c>
    </row>
    <row r="7" customFormat="false" ht="15" hidden="false" customHeight="false" outlineLevel="0" collapsed="false">
      <c r="A7" s="0" t="s">
        <v>207</v>
      </c>
      <c r="B7" s="0" t="s">
        <v>208</v>
      </c>
      <c r="C7" s="0" t="s">
        <v>137</v>
      </c>
      <c r="D7" s="15" t="n">
        <v>45700</v>
      </c>
      <c r="E7" s="15" t="n">
        <v>45899</v>
      </c>
      <c r="F7" s="15"/>
      <c r="G7" s="0" t="n">
        <v>429252.22</v>
      </c>
      <c r="H7" s="0" t="n">
        <v>132078.97</v>
      </c>
      <c r="I7" s="16" t="s">
        <v>198</v>
      </c>
      <c r="J7" s="0" t="n">
        <v>30.77</v>
      </c>
      <c r="K7" s="17" t="b">
        <f aca="false">FALSE()</f>
        <v>0</v>
      </c>
    </row>
    <row r="8" customFormat="false" ht="15" hidden="false" customHeight="false" outlineLevel="0" collapsed="false">
      <c r="A8" s="0" t="s">
        <v>209</v>
      </c>
      <c r="B8" s="0" t="s">
        <v>210</v>
      </c>
      <c r="C8" s="0" t="s">
        <v>158</v>
      </c>
      <c r="D8" s="15" t="n">
        <v>45672</v>
      </c>
      <c r="E8" s="15" t="n">
        <v>45717</v>
      </c>
      <c r="F8" s="15"/>
      <c r="G8" s="0" t="n">
        <v>190054.92</v>
      </c>
      <c r="H8" s="0" t="n">
        <v>96723.57</v>
      </c>
      <c r="I8" s="16" t="s">
        <v>211</v>
      </c>
      <c r="J8" s="0" t="n">
        <v>50.89</v>
      </c>
      <c r="K8" s="17" t="b">
        <f aca="false">TRUE()</f>
        <v>1</v>
      </c>
    </row>
    <row r="9" customFormat="false" ht="15" hidden="false" customHeight="false" outlineLevel="0" collapsed="false">
      <c r="A9" s="0" t="s">
        <v>212</v>
      </c>
      <c r="B9" s="0" t="s">
        <v>213</v>
      </c>
      <c r="C9" s="0" t="s">
        <v>150</v>
      </c>
      <c r="D9" s="15" t="n">
        <v>44884</v>
      </c>
      <c r="E9" s="15" t="n">
        <v>44928</v>
      </c>
      <c r="F9" s="15" t="n">
        <v>44943</v>
      </c>
      <c r="G9" s="0" t="n">
        <v>2135789.24</v>
      </c>
      <c r="H9" s="0" t="n">
        <v>1560908.67</v>
      </c>
      <c r="I9" s="16" t="s">
        <v>206</v>
      </c>
      <c r="J9" s="0" t="n">
        <v>73.08</v>
      </c>
      <c r="K9" s="17" t="b">
        <f aca="false">TRUE()</f>
        <v>1</v>
      </c>
    </row>
    <row r="10" customFormat="false" ht="15" hidden="false" customHeight="false" outlineLevel="0" collapsed="false">
      <c r="A10" s="0" t="s">
        <v>214</v>
      </c>
      <c r="B10" s="0" t="s">
        <v>215</v>
      </c>
      <c r="C10" s="0" t="s">
        <v>170</v>
      </c>
      <c r="D10" s="15" t="n">
        <v>45043</v>
      </c>
      <c r="E10" s="15" t="n">
        <v>45176</v>
      </c>
      <c r="F10" s="15" t="n">
        <v>45197</v>
      </c>
      <c r="G10" s="0" t="n">
        <v>653227.6</v>
      </c>
      <c r="H10" s="0" t="n">
        <v>632019.66</v>
      </c>
      <c r="I10" s="16" t="s">
        <v>198</v>
      </c>
      <c r="J10" s="0" t="n">
        <v>96.75</v>
      </c>
      <c r="K10" s="17" t="b">
        <f aca="false">FALSE()</f>
        <v>0</v>
      </c>
    </row>
    <row r="11" customFormat="false" ht="15" hidden="false" customHeight="false" outlineLevel="0" collapsed="false">
      <c r="A11" s="0" t="s">
        <v>216</v>
      </c>
      <c r="B11" s="0" t="s">
        <v>217</v>
      </c>
      <c r="C11" s="0" t="s">
        <v>82</v>
      </c>
      <c r="D11" s="15" t="n">
        <v>45420</v>
      </c>
      <c r="E11" s="15" t="n">
        <v>45618</v>
      </c>
      <c r="F11" s="15"/>
      <c r="G11" s="0" t="n">
        <v>1330817.65</v>
      </c>
      <c r="H11" s="0" t="n">
        <v>1003828.27</v>
      </c>
      <c r="I11" s="16" t="s">
        <v>201</v>
      </c>
      <c r="J11" s="0" t="n">
        <v>75.43</v>
      </c>
      <c r="K11" s="17" t="b">
        <f aca="false">TRUE()</f>
        <v>1</v>
      </c>
    </row>
    <row r="12" customFormat="false" ht="15" hidden="false" customHeight="false" outlineLevel="0" collapsed="false">
      <c r="A12" s="0" t="s">
        <v>218</v>
      </c>
      <c r="B12" s="0" t="s">
        <v>219</v>
      </c>
      <c r="C12" s="0" t="s">
        <v>168</v>
      </c>
      <c r="D12" s="15" t="n">
        <v>45205</v>
      </c>
      <c r="E12" s="15" t="n">
        <v>45296</v>
      </c>
      <c r="F12" s="15" t="n">
        <v>45289</v>
      </c>
      <c r="G12" s="0" t="n">
        <v>1118340.91</v>
      </c>
      <c r="H12" s="0" t="n">
        <v>1415858.05</v>
      </c>
      <c r="I12" s="16" t="s">
        <v>198</v>
      </c>
      <c r="J12" s="0" t="n">
        <v>126.6</v>
      </c>
      <c r="K12" s="17" t="b">
        <f aca="false">FALSE()</f>
        <v>0</v>
      </c>
    </row>
    <row r="13" customFormat="false" ht="15" hidden="false" customHeight="false" outlineLevel="0" collapsed="false">
      <c r="A13" s="0" t="s">
        <v>220</v>
      </c>
      <c r="B13" s="0" t="s">
        <v>221</v>
      </c>
      <c r="C13" s="0" t="s">
        <v>180</v>
      </c>
      <c r="D13" s="15" t="n">
        <v>44710</v>
      </c>
      <c r="E13" s="15" t="n">
        <v>44742</v>
      </c>
      <c r="F13" s="15" t="n">
        <v>44763</v>
      </c>
      <c r="G13" s="0" t="n">
        <v>2490436.3</v>
      </c>
      <c r="H13" s="0" t="n">
        <v>1825408.43</v>
      </c>
      <c r="I13" s="16" t="s">
        <v>198</v>
      </c>
      <c r="J13" s="0" t="n">
        <v>73.3</v>
      </c>
      <c r="K13" s="17" t="b">
        <f aca="false">FALSE()</f>
        <v>0</v>
      </c>
    </row>
    <row r="14" customFormat="false" ht="15" hidden="false" customHeight="false" outlineLevel="0" collapsed="false">
      <c r="A14" s="0" t="s">
        <v>222</v>
      </c>
      <c r="B14" s="0" t="s">
        <v>223</v>
      </c>
      <c r="C14" s="0" t="s">
        <v>148</v>
      </c>
      <c r="D14" s="15" t="n">
        <v>45105</v>
      </c>
      <c r="E14" s="15" t="n">
        <v>45168</v>
      </c>
      <c r="F14" s="15" t="n">
        <v>45182</v>
      </c>
      <c r="G14" s="0" t="n">
        <v>2204212.09</v>
      </c>
      <c r="H14" s="0" t="n">
        <v>1909480.7</v>
      </c>
      <c r="I14" s="16" t="s">
        <v>206</v>
      </c>
      <c r="J14" s="0" t="n">
        <v>86.63</v>
      </c>
      <c r="K14" s="17" t="b">
        <f aca="false">TRUE()</f>
        <v>1</v>
      </c>
    </row>
    <row r="15" customFormat="false" ht="15" hidden="false" customHeight="false" outlineLevel="0" collapsed="false">
      <c r="A15" s="0" t="s">
        <v>224</v>
      </c>
      <c r="B15" s="0" t="s">
        <v>225</v>
      </c>
      <c r="C15" s="0" t="s">
        <v>139</v>
      </c>
      <c r="D15" s="15" t="n">
        <v>45674</v>
      </c>
      <c r="E15" s="15" t="n">
        <v>45884</v>
      </c>
      <c r="F15" s="15" t="n">
        <v>45910</v>
      </c>
      <c r="G15" s="0" t="n">
        <v>1345904.7</v>
      </c>
      <c r="H15" s="0" t="n">
        <v>1346629.39</v>
      </c>
      <c r="I15" s="16" t="s">
        <v>198</v>
      </c>
      <c r="J15" s="0" t="n">
        <v>100.05</v>
      </c>
      <c r="K15" s="17" t="b">
        <f aca="false">FALSE()</f>
        <v>0</v>
      </c>
    </row>
    <row r="16" customFormat="false" ht="15" hidden="false" customHeight="false" outlineLevel="0" collapsed="false">
      <c r="A16" s="0" t="s">
        <v>226</v>
      </c>
      <c r="B16" s="0" t="s">
        <v>227</v>
      </c>
      <c r="C16" s="0" t="s">
        <v>119</v>
      </c>
      <c r="D16" s="15" t="n">
        <v>45920</v>
      </c>
      <c r="E16" s="15" t="n">
        <v>45976</v>
      </c>
      <c r="F16" s="15" t="n">
        <v>45994</v>
      </c>
      <c r="G16" s="0" t="n">
        <v>697941.51</v>
      </c>
      <c r="H16" s="0" t="n">
        <v>767994.4</v>
      </c>
      <c r="I16" s="16" t="s">
        <v>206</v>
      </c>
      <c r="J16" s="0" t="n">
        <v>110.04</v>
      </c>
      <c r="K16" s="17" t="b">
        <f aca="false">TRUE()</f>
        <v>1</v>
      </c>
    </row>
    <row r="17" customFormat="false" ht="15" hidden="false" customHeight="false" outlineLevel="0" collapsed="false">
      <c r="A17" s="0" t="s">
        <v>228</v>
      </c>
      <c r="B17" s="0" t="s">
        <v>229</v>
      </c>
      <c r="C17" s="0" t="s">
        <v>154</v>
      </c>
      <c r="D17" s="15" t="n">
        <v>44880</v>
      </c>
      <c r="E17" s="15" t="n">
        <v>44979</v>
      </c>
      <c r="F17" s="15" t="n">
        <v>44977</v>
      </c>
      <c r="G17" s="0" t="n">
        <v>1808149.86</v>
      </c>
      <c r="H17" s="0" t="n">
        <v>0</v>
      </c>
      <c r="I17" s="16" t="s">
        <v>198</v>
      </c>
      <c r="J17" s="0" t="n">
        <v>0</v>
      </c>
      <c r="K17" s="17" t="b">
        <f aca="false">FALSE()</f>
        <v>0</v>
      </c>
    </row>
    <row r="18" customFormat="false" ht="15" hidden="false" customHeight="false" outlineLevel="0" collapsed="false">
      <c r="A18" s="0" t="s">
        <v>230</v>
      </c>
      <c r="B18" s="0" t="s">
        <v>231</v>
      </c>
      <c r="C18" s="0" t="s">
        <v>113</v>
      </c>
      <c r="D18" s="15" t="n">
        <v>45597</v>
      </c>
      <c r="E18" s="15" t="n">
        <v>45752</v>
      </c>
      <c r="F18" s="15" t="n">
        <v>45740</v>
      </c>
      <c r="G18" s="0" t="n">
        <v>276131.25</v>
      </c>
      <c r="H18" s="0" t="n">
        <v>245925</v>
      </c>
      <c r="I18" s="16" t="s">
        <v>198</v>
      </c>
      <c r="J18" s="0" t="n">
        <v>89.06</v>
      </c>
      <c r="K18" s="17" t="b">
        <f aca="false">FALSE()</f>
        <v>0</v>
      </c>
    </row>
    <row r="19" customFormat="false" ht="15" hidden="false" customHeight="false" outlineLevel="0" collapsed="false">
      <c r="A19" s="0" t="s">
        <v>232</v>
      </c>
      <c r="B19" s="0" t="s">
        <v>233</v>
      </c>
      <c r="C19" s="0" t="s">
        <v>71</v>
      </c>
      <c r="D19" s="15" t="n">
        <v>44569</v>
      </c>
      <c r="E19" s="15" t="n">
        <v>44684</v>
      </c>
      <c r="F19" s="15"/>
      <c r="G19" s="0" t="n">
        <v>1610927.77</v>
      </c>
      <c r="H19" s="0" t="n">
        <v>456486.48</v>
      </c>
      <c r="I19" s="16" t="s">
        <v>211</v>
      </c>
      <c r="J19" s="0" t="n">
        <v>28.34</v>
      </c>
      <c r="K19" s="17" t="b">
        <f aca="false">TRUE()</f>
        <v>1</v>
      </c>
    </row>
    <row r="20" customFormat="false" ht="15" hidden="false" customHeight="false" outlineLevel="0" collapsed="false">
      <c r="A20" s="0" t="s">
        <v>234</v>
      </c>
      <c r="B20" s="0" t="s">
        <v>235</v>
      </c>
      <c r="C20" s="0" t="s">
        <v>139</v>
      </c>
      <c r="D20" s="15" t="n">
        <v>45691</v>
      </c>
      <c r="E20" s="15" t="n">
        <v>45901</v>
      </c>
      <c r="F20" s="15" t="n">
        <v>45886</v>
      </c>
      <c r="G20" s="0" t="n">
        <v>324091.01</v>
      </c>
      <c r="H20" s="0" t="n">
        <v>364690.84</v>
      </c>
      <c r="I20" s="16" t="s">
        <v>198</v>
      </c>
      <c r="J20" s="0" t="n">
        <v>112.53</v>
      </c>
      <c r="K20" s="17" t="b">
        <f aca="false">FALSE()</f>
        <v>0</v>
      </c>
    </row>
    <row r="21" customFormat="false" ht="15" hidden="false" customHeight="false" outlineLevel="0" collapsed="false">
      <c r="A21" s="0" t="s">
        <v>236</v>
      </c>
      <c r="B21" s="0" t="s">
        <v>237</v>
      </c>
      <c r="C21" s="0" t="s">
        <v>94</v>
      </c>
      <c r="D21" s="15" t="n">
        <v>45679</v>
      </c>
      <c r="E21" s="15" t="n">
        <v>45718</v>
      </c>
      <c r="F21" s="15"/>
      <c r="G21" s="0" t="n">
        <v>1477148.44</v>
      </c>
      <c r="H21" s="0" t="n">
        <v>65626.95</v>
      </c>
      <c r="I21" s="16" t="s">
        <v>195</v>
      </c>
      <c r="J21" s="0" t="n">
        <v>4.44</v>
      </c>
      <c r="K21" s="17" t="b">
        <f aca="false">FALSE()</f>
        <v>0</v>
      </c>
    </row>
    <row r="22" customFormat="false" ht="15" hidden="false" customHeight="false" outlineLevel="0" collapsed="false">
      <c r="A22" s="0" t="s">
        <v>238</v>
      </c>
      <c r="B22" s="0" t="s">
        <v>239</v>
      </c>
      <c r="C22" s="0" t="s">
        <v>71</v>
      </c>
      <c r="D22" s="15" t="n">
        <v>45193</v>
      </c>
      <c r="E22" s="15" t="n">
        <v>45316</v>
      </c>
      <c r="F22" s="15" t="n">
        <v>45376</v>
      </c>
      <c r="G22" s="0" t="n">
        <v>2431880.85</v>
      </c>
      <c r="H22" s="0" t="n">
        <v>1745975.41</v>
      </c>
      <c r="I22" s="16" t="s">
        <v>206</v>
      </c>
      <c r="J22" s="0" t="n">
        <v>71.8</v>
      </c>
      <c r="K22" s="17" t="b">
        <f aca="false">TRUE()</f>
        <v>1</v>
      </c>
    </row>
    <row r="23" customFormat="false" ht="15" hidden="false" customHeight="false" outlineLevel="0" collapsed="false">
      <c r="A23" s="0" t="s">
        <v>240</v>
      </c>
      <c r="B23" s="0" t="s">
        <v>241</v>
      </c>
      <c r="C23" s="0" t="s">
        <v>106</v>
      </c>
      <c r="D23" s="15" t="n">
        <v>45073</v>
      </c>
      <c r="E23" s="15" t="n">
        <v>45273</v>
      </c>
      <c r="F23" s="15" t="n">
        <v>45293</v>
      </c>
      <c r="G23" s="0" t="n">
        <v>2216130.02</v>
      </c>
      <c r="H23" s="0" t="n">
        <v>1956554.32</v>
      </c>
      <c r="I23" s="16" t="s">
        <v>198</v>
      </c>
      <c r="J23" s="0" t="n">
        <v>88.29</v>
      </c>
      <c r="K23" s="17" t="b">
        <f aca="false">FALSE()</f>
        <v>0</v>
      </c>
    </row>
    <row r="24" customFormat="false" ht="15" hidden="false" customHeight="false" outlineLevel="0" collapsed="false">
      <c r="A24" s="0" t="s">
        <v>242</v>
      </c>
      <c r="B24" s="0" t="s">
        <v>243</v>
      </c>
      <c r="C24" s="0" t="s">
        <v>178</v>
      </c>
      <c r="D24" s="15" t="n">
        <v>44941</v>
      </c>
      <c r="E24" s="15" t="n">
        <v>44968</v>
      </c>
      <c r="F24" s="15"/>
      <c r="G24" s="0" t="n">
        <v>2441704.78</v>
      </c>
      <c r="H24" s="0" t="n">
        <v>593899.56</v>
      </c>
      <c r="I24" s="16" t="s">
        <v>195</v>
      </c>
      <c r="J24" s="0" t="n">
        <v>24.32</v>
      </c>
      <c r="K24" s="17" t="b">
        <f aca="false">FALSE()</f>
        <v>0</v>
      </c>
    </row>
    <row r="25" customFormat="false" ht="15" hidden="false" customHeight="false" outlineLevel="0" collapsed="false">
      <c r="A25" s="0" t="s">
        <v>244</v>
      </c>
      <c r="B25" s="0" t="s">
        <v>245</v>
      </c>
      <c r="C25" s="0" t="s">
        <v>135</v>
      </c>
      <c r="D25" s="15" t="n">
        <v>44612</v>
      </c>
      <c r="E25" s="15" t="n">
        <v>44687</v>
      </c>
      <c r="F25" s="15"/>
      <c r="G25" s="0" t="n">
        <v>863854.4</v>
      </c>
      <c r="H25" s="0" t="n">
        <v>649248.02</v>
      </c>
      <c r="I25" s="16" t="s">
        <v>211</v>
      </c>
      <c r="J25" s="0" t="n">
        <v>75.16</v>
      </c>
      <c r="K25" s="17" t="b">
        <f aca="false">TRUE()</f>
        <v>1</v>
      </c>
    </row>
    <row r="26" customFormat="false" ht="15" hidden="false" customHeight="false" outlineLevel="0" collapsed="false">
      <c r="A26" s="0" t="s">
        <v>246</v>
      </c>
      <c r="B26" s="0" t="s">
        <v>247</v>
      </c>
      <c r="C26" s="0" t="s">
        <v>168</v>
      </c>
      <c r="D26" s="15" t="n">
        <v>45070</v>
      </c>
      <c r="E26" s="15" t="n">
        <v>45168</v>
      </c>
      <c r="F26" s="15" t="n">
        <v>45197</v>
      </c>
      <c r="G26" s="0" t="n">
        <v>314834.28</v>
      </c>
      <c r="H26" s="0" t="n">
        <v>343948.6</v>
      </c>
      <c r="I26" s="16" t="s">
        <v>198</v>
      </c>
      <c r="J26" s="0" t="n">
        <v>109.25</v>
      </c>
      <c r="K26" s="17" t="b">
        <f aca="false">FALSE()</f>
        <v>0</v>
      </c>
    </row>
    <row r="27" customFormat="false" ht="15" hidden="false" customHeight="false" outlineLevel="0" collapsed="false">
      <c r="A27" s="0" t="s">
        <v>248</v>
      </c>
      <c r="B27" s="0" t="s">
        <v>249</v>
      </c>
      <c r="C27" s="0" t="s">
        <v>143</v>
      </c>
      <c r="D27" s="15" t="n">
        <v>45017</v>
      </c>
      <c r="E27" s="15" t="n">
        <v>45098</v>
      </c>
      <c r="F27" s="15"/>
      <c r="G27" s="0" t="n">
        <v>1177742.92</v>
      </c>
      <c r="H27" s="0" t="n">
        <v>107830.91</v>
      </c>
      <c r="I27" s="16" t="s">
        <v>195</v>
      </c>
      <c r="J27" s="0" t="n">
        <v>9.16</v>
      </c>
      <c r="K27" s="17" t="b">
        <f aca="false">FALSE()</f>
        <v>0</v>
      </c>
    </row>
    <row r="28" customFormat="false" ht="15" hidden="false" customHeight="false" outlineLevel="0" collapsed="false">
      <c r="A28" s="0" t="s">
        <v>250</v>
      </c>
      <c r="B28" s="0" t="s">
        <v>251</v>
      </c>
      <c r="C28" s="0" t="s">
        <v>108</v>
      </c>
      <c r="D28" s="15" t="n">
        <v>45018</v>
      </c>
      <c r="E28" s="15" t="n">
        <v>45054</v>
      </c>
      <c r="F28" s="15"/>
      <c r="G28" s="0" t="n">
        <v>1026241.65</v>
      </c>
      <c r="H28" s="0" t="n">
        <v>302764.01</v>
      </c>
      <c r="I28" s="16" t="s">
        <v>201</v>
      </c>
      <c r="J28" s="0" t="n">
        <v>29.5</v>
      </c>
      <c r="K28" s="17" t="b">
        <f aca="false">TRUE()</f>
        <v>1</v>
      </c>
    </row>
    <row r="29" customFormat="false" ht="15" hidden="false" customHeight="false" outlineLevel="0" collapsed="false">
      <c r="A29" s="0" t="s">
        <v>252</v>
      </c>
      <c r="B29" s="0" t="s">
        <v>253</v>
      </c>
      <c r="C29" s="0" t="s">
        <v>182</v>
      </c>
      <c r="D29" s="15" t="n">
        <v>45133</v>
      </c>
      <c r="E29" s="15" t="n">
        <v>45252</v>
      </c>
      <c r="F29" s="15"/>
      <c r="G29" s="0" t="n">
        <v>1029212.04</v>
      </c>
      <c r="H29" s="0" t="n">
        <v>809788.95</v>
      </c>
      <c r="I29" s="16" t="s">
        <v>201</v>
      </c>
      <c r="J29" s="0" t="n">
        <v>78.68</v>
      </c>
      <c r="K29" s="17" t="b">
        <f aca="false">TRUE()</f>
        <v>1</v>
      </c>
    </row>
    <row r="30" customFormat="false" ht="15" hidden="false" customHeight="false" outlineLevel="0" collapsed="false">
      <c r="A30" s="0" t="s">
        <v>254</v>
      </c>
      <c r="B30" s="0" t="s">
        <v>255</v>
      </c>
      <c r="C30" s="0" t="s">
        <v>123</v>
      </c>
      <c r="D30" s="15" t="n">
        <v>44618</v>
      </c>
      <c r="E30" s="15" t="n">
        <v>44677</v>
      </c>
      <c r="F30" s="15"/>
      <c r="G30" s="0" t="n">
        <v>689977.23</v>
      </c>
      <c r="H30" s="0" t="n">
        <v>120178.11</v>
      </c>
      <c r="I30" s="16" t="s">
        <v>195</v>
      </c>
      <c r="J30" s="0" t="n">
        <v>17.42</v>
      </c>
      <c r="K30" s="17" t="b">
        <f aca="false">FALSE()</f>
        <v>0</v>
      </c>
    </row>
    <row r="31" customFormat="false" ht="15" hidden="false" customHeight="false" outlineLevel="0" collapsed="false">
      <c r="A31" s="0" t="s">
        <v>256</v>
      </c>
      <c r="B31" s="0" t="s">
        <v>257</v>
      </c>
      <c r="C31" s="0" t="s">
        <v>71</v>
      </c>
      <c r="D31" s="15" t="n">
        <v>44784</v>
      </c>
      <c r="E31" s="15" t="n">
        <v>44966</v>
      </c>
      <c r="F31" s="15" t="n">
        <v>44971</v>
      </c>
      <c r="G31" s="0" t="n">
        <v>1119165.02</v>
      </c>
      <c r="H31" s="0" t="n">
        <v>1279100.56</v>
      </c>
      <c r="I31" s="16" t="s">
        <v>198</v>
      </c>
      <c r="J31" s="0" t="n">
        <v>114.29</v>
      </c>
      <c r="K31" s="17" t="b">
        <f aca="false">FALSE()</f>
        <v>0</v>
      </c>
    </row>
    <row r="32" customFormat="false" ht="15" hidden="false" customHeight="false" outlineLevel="0" collapsed="false">
      <c r="A32" s="0" t="s">
        <v>258</v>
      </c>
      <c r="B32" s="0" t="s">
        <v>197</v>
      </c>
      <c r="C32" s="0" t="s">
        <v>130</v>
      </c>
      <c r="D32" s="15" t="n">
        <v>45742</v>
      </c>
      <c r="E32" s="15" t="n">
        <v>45820</v>
      </c>
      <c r="F32" s="15" t="n">
        <v>45850</v>
      </c>
      <c r="G32" s="0" t="n">
        <v>1118340.91</v>
      </c>
      <c r="H32" s="0" t="n">
        <v>1044490.33</v>
      </c>
      <c r="I32" s="16" t="s">
        <v>198</v>
      </c>
      <c r="J32" s="0" t="n">
        <v>93.4</v>
      </c>
      <c r="K32" s="17" t="b">
        <f aca="false">FALSE()</f>
        <v>0</v>
      </c>
    </row>
    <row r="33" customFormat="false" ht="15" hidden="false" customHeight="false" outlineLevel="0" collapsed="false">
      <c r="A33" s="0" t="s">
        <v>259</v>
      </c>
      <c r="B33" s="0" t="s">
        <v>260</v>
      </c>
      <c r="C33" s="0" t="s">
        <v>152</v>
      </c>
      <c r="D33" s="15" t="n">
        <v>44965</v>
      </c>
      <c r="E33" s="15" t="n">
        <v>45088</v>
      </c>
      <c r="F33" s="15" t="n">
        <v>45115</v>
      </c>
      <c r="G33" s="0" t="n">
        <v>2305888.6</v>
      </c>
      <c r="H33" s="0" t="n">
        <v>2260739.15</v>
      </c>
      <c r="I33" s="16" t="s">
        <v>198</v>
      </c>
      <c r="J33" s="0" t="n">
        <v>98.04</v>
      </c>
      <c r="K33" s="17" t="b">
        <f aca="false">FALSE()</f>
        <v>0</v>
      </c>
    </row>
    <row r="34" customFormat="false" ht="15" hidden="false" customHeight="false" outlineLevel="0" collapsed="false">
      <c r="A34" s="0" t="s">
        <v>261</v>
      </c>
      <c r="B34" s="0" t="s">
        <v>262</v>
      </c>
      <c r="C34" s="0" t="s">
        <v>88</v>
      </c>
      <c r="D34" s="15" t="n">
        <v>45177</v>
      </c>
      <c r="E34" s="15" t="n">
        <v>45336</v>
      </c>
      <c r="F34" s="15" t="n">
        <v>45347</v>
      </c>
      <c r="G34" s="0" t="n">
        <v>849148.12</v>
      </c>
      <c r="H34" s="0" t="n">
        <v>860818.63</v>
      </c>
      <c r="I34" s="16" t="s">
        <v>198</v>
      </c>
      <c r="J34" s="0" t="n">
        <v>101.37</v>
      </c>
      <c r="K34" s="17" t="b">
        <f aca="false">FALSE()</f>
        <v>0</v>
      </c>
    </row>
    <row r="35" customFormat="false" ht="15" hidden="false" customHeight="false" outlineLevel="0" collapsed="false">
      <c r="A35" s="0" t="s">
        <v>263</v>
      </c>
      <c r="B35" s="0" t="s">
        <v>264</v>
      </c>
      <c r="C35" s="0" t="s">
        <v>92</v>
      </c>
      <c r="D35" s="15" t="n">
        <v>44954</v>
      </c>
      <c r="E35" s="15" t="n">
        <v>45091</v>
      </c>
      <c r="F35" s="15"/>
      <c r="G35" s="0" t="n">
        <v>978905.93</v>
      </c>
      <c r="H35" s="0" t="n">
        <v>610537.94</v>
      </c>
      <c r="I35" s="16" t="s">
        <v>201</v>
      </c>
      <c r="J35" s="0" t="n">
        <v>62.37</v>
      </c>
      <c r="K35" s="17" t="b">
        <f aca="false">TRUE()</f>
        <v>1</v>
      </c>
    </row>
    <row r="36" customFormat="false" ht="15" hidden="false" customHeight="false" outlineLevel="0" collapsed="false">
      <c r="A36" s="0" t="s">
        <v>265</v>
      </c>
      <c r="B36" s="0" t="s">
        <v>266</v>
      </c>
      <c r="C36" s="0" t="s">
        <v>162</v>
      </c>
      <c r="D36" s="15" t="n">
        <v>45727</v>
      </c>
      <c r="E36" s="15" t="n">
        <v>45834</v>
      </c>
      <c r="F36" s="15" t="n">
        <v>45819</v>
      </c>
      <c r="G36" s="0" t="n">
        <v>794493.63</v>
      </c>
      <c r="H36" s="0" t="n">
        <v>631290.5</v>
      </c>
      <c r="I36" s="16" t="s">
        <v>198</v>
      </c>
      <c r="J36" s="0" t="n">
        <v>79.46</v>
      </c>
      <c r="K36" s="17" t="b">
        <f aca="false">FALSE()</f>
        <v>0</v>
      </c>
    </row>
    <row r="37" customFormat="false" ht="15" hidden="false" customHeight="false" outlineLevel="0" collapsed="false">
      <c r="A37" s="0" t="s">
        <v>267</v>
      </c>
      <c r="B37" s="0" t="s">
        <v>268</v>
      </c>
      <c r="C37" s="0" t="s">
        <v>158</v>
      </c>
      <c r="D37" s="15" t="n">
        <v>45804</v>
      </c>
      <c r="E37" s="15" t="n">
        <v>46001</v>
      </c>
      <c r="F37" s="15" t="n">
        <v>46014</v>
      </c>
      <c r="G37" s="0" t="n">
        <v>1133291.51</v>
      </c>
      <c r="H37" s="0" t="n">
        <v>902287.75</v>
      </c>
      <c r="I37" s="16" t="s">
        <v>198</v>
      </c>
      <c r="J37" s="0" t="n">
        <v>79.62</v>
      </c>
      <c r="K37" s="17" t="b">
        <f aca="false">FALSE()</f>
        <v>0</v>
      </c>
    </row>
    <row r="38" customFormat="false" ht="15" hidden="false" customHeight="false" outlineLevel="0" collapsed="false">
      <c r="A38" s="0" t="s">
        <v>269</v>
      </c>
      <c r="B38" s="0" t="s">
        <v>270</v>
      </c>
      <c r="C38" s="0" t="s">
        <v>178</v>
      </c>
      <c r="D38" s="15" t="n">
        <v>44909</v>
      </c>
      <c r="E38" s="15" t="n">
        <v>45107</v>
      </c>
      <c r="F38" s="15" t="n">
        <v>45124</v>
      </c>
      <c r="G38" s="0" t="n">
        <v>1676441.9</v>
      </c>
      <c r="H38" s="0" t="n">
        <v>1640678.97</v>
      </c>
      <c r="I38" s="16" t="s">
        <v>198</v>
      </c>
      <c r="J38" s="0" t="n">
        <v>97.87</v>
      </c>
      <c r="K38" s="17" t="b">
        <f aca="false">FALSE()</f>
        <v>0</v>
      </c>
    </row>
    <row r="39" customFormat="false" ht="15" hidden="false" customHeight="false" outlineLevel="0" collapsed="false">
      <c r="A39" s="0" t="s">
        <v>271</v>
      </c>
      <c r="B39" s="0" t="s">
        <v>272</v>
      </c>
      <c r="C39" s="0" t="s">
        <v>180</v>
      </c>
      <c r="D39" s="15" t="n">
        <v>45043</v>
      </c>
      <c r="E39" s="15" t="n">
        <v>45245</v>
      </c>
      <c r="F39" s="15" t="n">
        <v>45242</v>
      </c>
      <c r="G39" s="0" t="n">
        <v>411017.21</v>
      </c>
      <c r="H39" s="0" t="n">
        <v>296259.63</v>
      </c>
      <c r="I39" s="16" t="s">
        <v>198</v>
      </c>
      <c r="J39" s="0" t="n">
        <v>72.08</v>
      </c>
      <c r="K39" s="17" t="b">
        <f aca="false">FALSE()</f>
        <v>0</v>
      </c>
    </row>
    <row r="40" customFormat="false" ht="15" hidden="false" customHeight="false" outlineLevel="0" collapsed="false">
      <c r="A40" s="0" t="s">
        <v>273</v>
      </c>
      <c r="B40" s="0" t="s">
        <v>274</v>
      </c>
      <c r="C40" s="0" t="s">
        <v>162</v>
      </c>
      <c r="D40" s="15" t="n">
        <v>44711</v>
      </c>
      <c r="E40" s="15" t="n">
        <v>44857</v>
      </c>
      <c r="F40" s="15" t="n">
        <v>44882</v>
      </c>
      <c r="G40" s="0" t="n">
        <v>1460393.7</v>
      </c>
      <c r="H40" s="0" t="n">
        <v>1494356.12</v>
      </c>
      <c r="I40" s="16" t="s">
        <v>198</v>
      </c>
      <c r="J40" s="0" t="n">
        <v>102.33</v>
      </c>
      <c r="K40" s="17" t="b">
        <f aca="false">FALSE()</f>
        <v>0</v>
      </c>
    </row>
    <row r="41" customFormat="false" ht="15" hidden="false" customHeight="false" outlineLevel="0" collapsed="false">
      <c r="A41" s="0" t="s">
        <v>275</v>
      </c>
      <c r="B41" s="0" t="s">
        <v>276</v>
      </c>
      <c r="C41" s="0" t="s">
        <v>145</v>
      </c>
      <c r="D41" s="15" t="n">
        <v>45380</v>
      </c>
      <c r="E41" s="15" t="n">
        <v>45472</v>
      </c>
      <c r="F41" s="15" t="n">
        <v>45501</v>
      </c>
      <c r="G41" s="0" t="n">
        <v>63584.8</v>
      </c>
      <c r="H41" s="0" t="n">
        <v>65996.83</v>
      </c>
      <c r="I41" s="16" t="s">
        <v>198</v>
      </c>
      <c r="J41" s="0" t="n">
        <v>103.79</v>
      </c>
      <c r="K41" s="17" t="b">
        <f aca="false">FALSE()</f>
        <v>0</v>
      </c>
    </row>
    <row r="42" customFormat="false" ht="15" hidden="false" customHeight="false" outlineLevel="0" collapsed="false">
      <c r="A42" s="0" t="s">
        <v>277</v>
      </c>
      <c r="B42" s="0" t="s">
        <v>221</v>
      </c>
      <c r="C42" s="0" t="s">
        <v>84</v>
      </c>
      <c r="D42" s="15" t="n">
        <v>45432</v>
      </c>
      <c r="E42" s="15" t="n">
        <v>45518</v>
      </c>
      <c r="F42" s="15" t="n">
        <v>45547</v>
      </c>
      <c r="G42" s="0" t="n">
        <v>1318996.49</v>
      </c>
      <c r="H42" s="0" t="n">
        <v>953104.59</v>
      </c>
      <c r="I42" s="16" t="s">
        <v>198</v>
      </c>
      <c r="J42" s="0" t="n">
        <v>72.26</v>
      </c>
      <c r="K42" s="17" t="b">
        <f aca="false">FALSE()</f>
        <v>0</v>
      </c>
    </row>
    <row r="43" customFormat="false" ht="15" hidden="false" customHeight="false" outlineLevel="0" collapsed="false">
      <c r="A43" s="0" t="s">
        <v>278</v>
      </c>
      <c r="B43" s="0" t="s">
        <v>279</v>
      </c>
      <c r="C43" s="0" t="s">
        <v>88</v>
      </c>
      <c r="D43" s="15" t="n">
        <v>45496</v>
      </c>
      <c r="E43" s="15" t="n">
        <v>45560</v>
      </c>
      <c r="F43" s="15"/>
      <c r="G43" s="0" t="n">
        <v>1685565.44</v>
      </c>
      <c r="H43" s="0" t="n">
        <v>499547.21</v>
      </c>
      <c r="I43" s="16" t="s">
        <v>195</v>
      </c>
      <c r="J43" s="0" t="n">
        <v>29.64</v>
      </c>
      <c r="K43" s="17" t="b">
        <f aca="false">FALSE()</f>
        <v>0</v>
      </c>
    </row>
    <row r="44" customFormat="false" ht="15" hidden="false" customHeight="false" outlineLevel="0" collapsed="false">
      <c r="A44" s="0" t="s">
        <v>280</v>
      </c>
      <c r="B44" s="0" t="s">
        <v>281</v>
      </c>
      <c r="C44" s="0" t="s">
        <v>121</v>
      </c>
      <c r="D44" s="15" t="n">
        <v>45468</v>
      </c>
      <c r="E44" s="15" t="n">
        <v>45654</v>
      </c>
      <c r="F44" s="15"/>
      <c r="G44" s="0" t="n">
        <v>2235449.73</v>
      </c>
      <c r="H44" s="0" t="n">
        <v>286187.25</v>
      </c>
      <c r="I44" s="16" t="s">
        <v>195</v>
      </c>
      <c r="J44" s="0" t="n">
        <v>12.8</v>
      </c>
      <c r="K44" s="17" t="b">
        <f aca="false">FALSE()</f>
        <v>0</v>
      </c>
    </row>
    <row r="45" customFormat="false" ht="15" hidden="false" customHeight="false" outlineLevel="0" collapsed="false">
      <c r="A45" s="0" t="s">
        <v>282</v>
      </c>
      <c r="B45" s="0" t="s">
        <v>283</v>
      </c>
      <c r="C45" s="0" t="s">
        <v>154</v>
      </c>
      <c r="D45" s="15" t="n">
        <v>45475</v>
      </c>
      <c r="E45" s="15" t="n">
        <v>45545</v>
      </c>
      <c r="F45" s="15"/>
      <c r="G45" s="0" t="n">
        <v>1212952.37</v>
      </c>
      <c r="H45" s="0" t="n">
        <v>341366.14</v>
      </c>
      <c r="I45" s="16" t="s">
        <v>211</v>
      </c>
      <c r="J45" s="0" t="n">
        <v>28.14</v>
      </c>
      <c r="K45" s="17" t="b">
        <f aca="false">TRUE()</f>
        <v>1</v>
      </c>
    </row>
    <row r="46" customFormat="false" ht="15" hidden="false" customHeight="false" outlineLevel="0" collapsed="false">
      <c r="A46" s="0" t="s">
        <v>284</v>
      </c>
      <c r="B46" s="0" t="s">
        <v>285</v>
      </c>
      <c r="C46" s="0" t="s">
        <v>164</v>
      </c>
      <c r="D46" s="15" t="n">
        <v>45129</v>
      </c>
      <c r="E46" s="15" t="n">
        <v>45355</v>
      </c>
      <c r="F46" s="15"/>
      <c r="G46" s="0" t="n">
        <v>1237262.69</v>
      </c>
      <c r="H46" s="0" t="n">
        <v>330933.26</v>
      </c>
      <c r="I46" s="16" t="s">
        <v>211</v>
      </c>
      <c r="J46" s="0" t="n">
        <v>26.75</v>
      </c>
      <c r="K46" s="17" t="b">
        <f aca="false">TRUE()</f>
        <v>1</v>
      </c>
    </row>
    <row r="47" customFormat="false" ht="15" hidden="false" customHeight="false" outlineLevel="0" collapsed="false">
      <c r="A47" s="0" t="s">
        <v>286</v>
      </c>
      <c r="B47" s="0" t="s">
        <v>287</v>
      </c>
      <c r="C47" s="0" t="s">
        <v>79</v>
      </c>
      <c r="D47" s="15" t="n">
        <v>45147</v>
      </c>
      <c r="E47" s="15" t="n">
        <v>45237</v>
      </c>
      <c r="F47" s="15" t="n">
        <v>45242</v>
      </c>
      <c r="G47" s="0" t="n">
        <v>2237915.74</v>
      </c>
      <c r="H47" s="0" t="n">
        <v>1647687.72</v>
      </c>
      <c r="I47" s="16" t="s">
        <v>198</v>
      </c>
      <c r="J47" s="0" t="n">
        <v>73.63</v>
      </c>
      <c r="K47" s="17" t="b">
        <f aca="false">FALSE()</f>
        <v>0</v>
      </c>
    </row>
    <row r="48" customFormat="false" ht="15" hidden="false" customHeight="false" outlineLevel="0" collapsed="false">
      <c r="A48" s="0" t="s">
        <v>288</v>
      </c>
      <c r="B48" s="0" t="s">
        <v>289</v>
      </c>
      <c r="C48" s="0" t="s">
        <v>108</v>
      </c>
      <c r="D48" s="15" t="n">
        <v>45346</v>
      </c>
      <c r="E48" s="15" t="n">
        <v>45553</v>
      </c>
      <c r="F48" s="15" t="n">
        <v>45551</v>
      </c>
      <c r="G48" s="0" t="n">
        <v>207360.68</v>
      </c>
      <c r="H48" s="0" t="n">
        <v>183186.51</v>
      </c>
      <c r="I48" s="16" t="s">
        <v>198</v>
      </c>
      <c r="J48" s="0" t="n">
        <v>88.34</v>
      </c>
      <c r="K48" s="17" t="b">
        <f aca="false">FALSE()</f>
        <v>0</v>
      </c>
    </row>
    <row r="49" customFormat="false" ht="15" hidden="false" customHeight="false" outlineLevel="0" collapsed="false">
      <c r="A49" s="0" t="s">
        <v>290</v>
      </c>
      <c r="B49" s="0" t="s">
        <v>291</v>
      </c>
      <c r="C49" s="0" t="s">
        <v>141</v>
      </c>
      <c r="D49" s="15" t="n">
        <v>45413</v>
      </c>
      <c r="E49" s="15" t="n">
        <v>45458</v>
      </c>
      <c r="F49" s="15" t="n">
        <v>45469</v>
      </c>
      <c r="G49" s="0" t="n">
        <v>1004218.19</v>
      </c>
      <c r="H49" s="0" t="n">
        <v>1050822.05</v>
      </c>
      <c r="I49" s="16" t="s">
        <v>198</v>
      </c>
      <c r="J49" s="0" t="n">
        <v>104.64</v>
      </c>
      <c r="K49" s="17" t="b">
        <f aca="false">FALSE()</f>
        <v>0</v>
      </c>
    </row>
    <row r="50" customFormat="false" ht="15" hidden="false" customHeight="false" outlineLevel="0" collapsed="false">
      <c r="A50" s="0" t="s">
        <v>292</v>
      </c>
      <c r="B50" s="0" t="s">
        <v>293</v>
      </c>
      <c r="C50" s="0" t="s">
        <v>67</v>
      </c>
      <c r="D50" s="15" t="n">
        <v>45741</v>
      </c>
      <c r="E50" s="15" t="n">
        <v>45868</v>
      </c>
      <c r="F50" s="15" t="n">
        <v>45875</v>
      </c>
      <c r="G50" s="0" t="n">
        <v>781601</v>
      </c>
      <c r="H50" s="0" t="n">
        <v>684286.98</v>
      </c>
      <c r="I50" s="16" t="s">
        <v>198</v>
      </c>
      <c r="J50" s="0" t="n">
        <v>87.55</v>
      </c>
      <c r="K50" s="17" t="b">
        <f aca="false">FALSE()</f>
        <v>0</v>
      </c>
    </row>
    <row r="51" customFormat="false" ht="15" hidden="false" customHeight="false" outlineLevel="0" collapsed="false">
      <c r="A51" s="0" t="s">
        <v>294</v>
      </c>
      <c r="B51" s="0" t="s">
        <v>194</v>
      </c>
      <c r="C51" s="0" t="s">
        <v>135</v>
      </c>
      <c r="D51" s="15" t="n">
        <v>45664</v>
      </c>
      <c r="E51" s="15" t="n">
        <v>45885</v>
      </c>
      <c r="F51" s="15"/>
      <c r="G51" s="0" t="n">
        <v>2009677.02</v>
      </c>
      <c r="H51" s="0" t="n">
        <v>1463985.29</v>
      </c>
      <c r="I51" s="16" t="s">
        <v>211</v>
      </c>
      <c r="J51" s="0" t="n">
        <v>72.85</v>
      </c>
      <c r="K51" s="17" t="b">
        <f aca="false">TRUE()</f>
        <v>1</v>
      </c>
    </row>
    <row r="52" customFormat="false" ht="15" hidden="false" customHeight="false" outlineLevel="0" collapsed="false">
      <c r="A52" s="0" t="s">
        <v>295</v>
      </c>
      <c r="B52" s="0" t="s">
        <v>296</v>
      </c>
      <c r="C52" s="0" t="s">
        <v>108</v>
      </c>
      <c r="D52" s="15" t="n">
        <v>45120</v>
      </c>
      <c r="E52" s="15" t="n">
        <v>45261</v>
      </c>
      <c r="F52" s="15" t="n">
        <v>45270</v>
      </c>
      <c r="G52" s="0" t="n">
        <v>873517.38</v>
      </c>
      <c r="H52" s="0" t="n">
        <v>878421.17</v>
      </c>
      <c r="I52" s="16" t="s">
        <v>198</v>
      </c>
      <c r="J52" s="0" t="n">
        <v>100.56</v>
      </c>
      <c r="K52" s="17" t="b">
        <f aca="false">FALSE()</f>
        <v>0</v>
      </c>
    </row>
    <row r="53" customFormat="false" ht="15" hidden="false" customHeight="false" outlineLevel="0" collapsed="false">
      <c r="A53" s="0" t="s">
        <v>297</v>
      </c>
      <c r="B53" s="0" t="s">
        <v>215</v>
      </c>
      <c r="C53" s="0" t="s">
        <v>176</v>
      </c>
      <c r="D53" s="15" t="n">
        <v>44900</v>
      </c>
      <c r="E53" s="15" t="n">
        <v>45049</v>
      </c>
      <c r="F53" s="15" t="n">
        <v>45098</v>
      </c>
      <c r="G53" s="0" t="n">
        <v>1358602.89</v>
      </c>
      <c r="H53" s="0" t="n">
        <v>1505492.3</v>
      </c>
      <c r="I53" s="16" t="s">
        <v>206</v>
      </c>
      <c r="J53" s="0" t="n">
        <v>110.81</v>
      </c>
      <c r="K53" s="17" t="b">
        <f aca="false">TRUE()</f>
        <v>1</v>
      </c>
    </row>
    <row r="54" customFormat="false" ht="15" hidden="false" customHeight="false" outlineLevel="0" collapsed="false">
      <c r="A54" s="0" t="s">
        <v>298</v>
      </c>
      <c r="B54" s="0" t="s">
        <v>299</v>
      </c>
      <c r="C54" s="0" t="s">
        <v>156</v>
      </c>
      <c r="D54" s="15" t="n">
        <v>45919</v>
      </c>
      <c r="E54" s="15" t="n">
        <v>45955</v>
      </c>
      <c r="F54" s="15" t="n">
        <v>45967</v>
      </c>
      <c r="G54" s="0" t="n">
        <v>382463.74</v>
      </c>
      <c r="H54" s="0" t="n">
        <v>347186.93</v>
      </c>
      <c r="I54" s="16" t="s">
        <v>198</v>
      </c>
      <c r="J54" s="0" t="n">
        <v>90.78</v>
      </c>
      <c r="K54" s="17" t="b">
        <f aca="false">FALSE()</f>
        <v>0</v>
      </c>
    </row>
    <row r="55" customFormat="false" ht="15" hidden="false" customHeight="false" outlineLevel="0" collapsed="false">
      <c r="A55" s="0" t="s">
        <v>300</v>
      </c>
      <c r="B55" s="0" t="s">
        <v>231</v>
      </c>
      <c r="C55" s="0" t="s">
        <v>113</v>
      </c>
      <c r="D55" s="15" t="n">
        <v>45338</v>
      </c>
      <c r="E55" s="15" t="n">
        <v>45451</v>
      </c>
      <c r="F55" s="15" t="n">
        <v>45456</v>
      </c>
      <c r="G55" s="0" t="n">
        <v>876876.34</v>
      </c>
      <c r="H55" s="0" t="n">
        <v>960914.41</v>
      </c>
      <c r="I55" s="16" t="s">
        <v>198</v>
      </c>
      <c r="J55" s="0" t="n">
        <v>109.58</v>
      </c>
      <c r="K55" s="17" t="b">
        <f aca="false">FALSE()</f>
        <v>0</v>
      </c>
    </row>
    <row r="56" customFormat="false" ht="15" hidden="false" customHeight="false" outlineLevel="0" collapsed="false">
      <c r="A56" s="0" t="s">
        <v>301</v>
      </c>
      <c r="B56" s="0" t="s">
        <v>203</v>
      </c>
      <c r="C56" s="0" t="s">
        <v>180</v>
      </c>
      <c r="D56" s="15" t="n">
        <v>45425</v>
      </c>
      <c r="E56" s="15" t="n">
        <v>45519</v>
      </c>
      <c r="F56" s="15"/>
      <c r="G56" s="0" t="n">
        <v>1202251.75</v>
      </c>
      <c r="H56" s="0" t="n">
        <v>270154.72</v>
      </c>
      <c r="I56" s="16" t="s">
        <v>195</v>
      </c>
      <c r="J56" s="0" t="n">
        <v>22.47</v>
      </c>
      <c r="K56" s="17" t="b">
        <f aca="false">FALSE()</f>
        <v>0</v>
      </c>
    </row>
    <row r="57" customFormat="false" ht="15" hidden="false" customHeight="false" outlineLevel="0" collapsed="false">
      <c r="A57" s="0" t="s">
        <v>302</v>
      </c>
      <c r="B57" s="0" t="s">
        <v>303</v>
      </c>
      <c r="C57" s="0" t="s">
        <v>125</v>
      </c>
      <c r="D57" s="15" t="n">
        <v>45021</v>
      </c>
      <c r="E57" s="15" t="n">
        <v>45217</v>
      </c>
      <c r="F57" s="15" t="n">
        <v>45243</v>
      </c>
      <c r="G57" s="0" t="n">
        <v>148632.44</v>
      </c>
      <c r="H57" s="0" t="n">
        <v>106118.14</v>
      </c>
      <c r="I57" s="16" t="s">
        <v>198</v>
      </c>
      <c r="J57" s="0" t="n">
        <v>71.4</v>
      </c>
      <c r="K57" s="17" t="b">
        <f aca="false">FALSE()</f>
        <v>0</v>
      </c>
    </row>
    <row r="58" customFormat="false" ht="15" hidden="false" customHeight="false" outlineLevel="0" collapsed="false">
      <c r="A58" s="0" t="s">
        <v>304</v>
      </c>
      <c r="B58" s="0" t="s">
        <v>305</v>
      </c>
      <c r="C58" s="0" t="s">
        <v>104</v>
      </c>
      <c r="D58" s="15" t="n">
        <v>44603</v>
      </c>
      <c r="E58" s="15" t="n">
        <v>44792</v>
      </c>
      <c r="F58" s="15" t="n">
        <v>44785</v>
      </c>
      <c r="G58" s="0" t="n">
        <v>1210224.6</v>
      </c>
      <c r="H58" s="0" t="n">
        <v>909453.83</v>
      </c>
      <c r="I58" s="16" t="s">
        <v>198</v>
      </c>
      <c r="J58" s="0" t="n">
        <v>75.15</v>
      </c>
      <c r="K58" s="17" t="b">
        <f aca="false">FALSE()</f>
        <v>0</v>
      </c>
    </row>
    <row r="59" customFormat="false" ht="15" hidden="false" customHeight="false" outlineLevel="0" collapsed="false">
      <c r="A59" s="0" t="s">
        <v>306</v>
      </c>
      <c r="B59" s="0" t="s">
        <v>200</v>
      </c>
      <c r="C59" s="0" t="s">
        <v>141</v>
      </c>
      <c r="D59" s="15" t="n">
        <v>45086</v>
      </c>
      <c r="E59" s="15" t="n">
        <v>45312</v>
      </c>
      <c r="F59" s="15" t="n">
        <v>45335</v>
      </c>
      <c r="G59" s="0" t="n">
        <v>1537756.36</v>
      </c>
      <c r="H59" s="0" t="n">
        <v>1593986.79</v>
      </c>
      <c r="I59" s="16" t="s">
        <v>198</v>
      </c>
      <c r="J59" s="0" t="n">
        <v>103.66</v>
      </c>
      <c r="K59" s="17" t="b">
        <f aca="false">FALSE()</f>
        <v>0</v>
      </c>
    </row>
    <row r="60" customFormat="false" ht="15" hidden="false" customHeight="false" outlineLevel="0" collapsed="false">
      <c r="A60" s="0" t="s">
        <v>307</v>
      </c>
      <c r="B60" s="0" t="s">
        <v>308</v>
      </c>
      <c r="C60" s="0" t="s">
        <v>182</v>
      </c>
      <c r="D60" s="15" t="n">
        <v>44897</v>
      </c>
      <c r="E60" s="15" t="n">
        <v>45006</v>
      </c>
      <c r="F60" s="15" t="n">
        <v>44992</v>
      </c>
      <c r="G60" s="0" t="n">
        <v>2325773.56</v>
      </c>
      <c r="H60" s="0" t="n">
        <v>2230669.26</v>
      </c>
      <c r="I60" s="16" t="s">
        <v>198</v>
      </c>
      <c r="J60" s="0" t="n">
        <v>95.91</v>
      </c>
      <c r="K60" s="17" t="b">
        <f aca="false">FALSE()</f>
        <v>0</v>
      </c>
    </row>
    <row r="61" customFormat="false" ht="15" hidden="false" customHeight="false" outlineLevel="0" collapsed="false">
      <c r="A61" s="0" t="s">
        <v>309</v>
      </c>
      <c r="B61" s="0" t="s">
        <v>310</v>
      </c>
      <c r="C61" s="0" t="s">
        <v>130</v>
      </c>
      <c r="D61" s="15" t="n">
        <v>45374</v>
      </c>
      <c r="E61" s="15" t="n">
        <v>45587</v>
      </c>
      <c r="F61" s="15" t="n">
        <v>45609</v>
      </c>
      <c r="G61" s="0" t="n">
        <v>1742005.32</v>
      </c>
      <c r="H61" s="0" t="n">
        <v>1711100.54</v>
      </c>
      <c r="I61" s="16" t="s">
        <v>198</v>
      </c>
      <c r="J61" s="0" t="n">
        <v>98.23</v>
      </c>
      <c r="K61" s="17" t="b">
        <f aca="false">FALSE()</f>
        <v>0</v>
      </c>
    </row>
    <row r="62" customFormat="false" ht="15" hidden="false" customHeight="false" outlineLevel="0" collapsed="false">
      <c r="A62" s="0" t="s">
        <v>311</v>
      </c>
      <c r="B62" s="0" t="s">
        <v>276</v>
      </c>
      <c r="C62" s="0" t="s">
        <v>172</v>
      </c>
      <c r="D62" s="15" t="n">
        <v>45179</v>
      </c>
      <c r="E62" s="15" t="n">
        <v>45384</v>
      </c>
      <c r="F62" s="15"/>
      <c r="G62" s="0" t="n">
        <v>346584.91</v>
      </c>
      <c r="H62" s="0" t="n">
        <v>273348.42</v>
      </c>
      <c r="I62" s="16" t="s">
        <v>201</v>
      </c>
      <c r="J62" s="0" t="n">
        <v>78.87</v>
      </c>
      <c r="K62" s="17" t="b">
        <f aca="false">TRUE()</f>
        <v>1</v>
      </c>
    </row>
    <row r="63" customFormat="false" ht="15" hidden="false" customHeight="false" outlineLevel="0" collapsed="false">
      <c r="A63" s="0" t="s">
        <v>312</v>
      </c>
      <c r="B63" s="0" t="s">
        <v>313</v>
      </c>
      <c r="C63" s="0" t="s">
        <v>71</v>
      </c>
      <c r="D63" s="15" t="n">
        <v>45273</v>
      </c>
      <c r="E63" s="15" t="n">
        <v>45439</v>
      </c>
      <c r="F63" s="15" t="n">
        <v>45447</v>
      </c>
      <c r="G63" s="0" t="n">
        <v>218944</v>
      </c>
      <c r="H63" s="0" t="n">
        <v>217059.87</v>
      </c>
      <c r="I63" s="16" t="s">
        <v>198</v>
      </c>
      <c r="J63" s="0" t="n">
        <v>99.14</v>
      </c>
      <c r="K63" s="17" t="b">
        <f aca="false">FALSE()</f>
        <v>0</v>
      </c>
    </row>
    <row r="64" customFormat="false" ht="15" hidden="false" customHeight="false" outlineLevel="0" collapsed="false">
      <c r="A64" s="0" t="s">
        <v>314</v>
      </c>
      <c r="B64" s="0" t="s">
        <v>227</v>
      </c>
      <c r="C64" s="0" t="s">
        <v>135</v>
      </c>
      <c r="D64" s="15" t="n">
        <v>45565</v>
      </c>
      <c r="E64" s="15" t="n">
        <v>45622</v>
      </c>
      <c r="F64" s="15" t="n">
        <v>45630</v>
      </c>
      <c r="G64" s="0" t="n">
        <v>1607183.51</v>
      </c>
      <c r="H64" s="0" t="n">
        <v>1724376.58</v>
      </c>
      <c r="I64" s="16" t="s">
        <v>198</v>
      </c>
      <c r="J64" s="0" t="n">
        <v>107.29</v>
      </c>
      <c r="K64" s="17" t="b">
        <f aca="false">FALSE()</f>
        <v>0</v>
      </c>
    </row>
    <row r="65" customFormat="false" ht="15" hidden="false" customHeight="false" outlineLevel="0" collapsed="false">
      <c r="A65" s="0" t="s">
        <v>315</v>
      </c>
      <c r="B65" s="0" t="s">
        <v>316</v>
      </c>
      <c r="C65" s="0" t="s">
        <v>94</v>
      </c>
      <c r="D65" s="15" t="n">
        <v>45453</v>
      </c>
      <c r="E65" s="15" t="n">
        <v>45528</v>
      </c>
      <c r="F65" s="15"/>
      <c r="G65" s="0" t="n">
        <v>2415410.64</v>
      </c>
      <c r="H65" s="0" t="n">
        <v>698192.99</v>
      </c>
      <c r="I65" s="16" t="s">
        <v>211</v>
      </c>
      <c r="J65" s="0" t="n">
        <v>28.91</v>
      </c>
      <c r="K65" s="17" t="b">
        <f aca="false">TRUE()</f>
        <v>1</v>
      </c>
    </row>
    <row r="66" customFormat="false" ht="15" hidden="false" customHeight="false" outlineLevel="0" collapsed="false">
      <c r="A66" s="0" t="s">
        <v>317</v>
      </c>
      <c r="B66" s="0" t="s">
        <v>318</v>
      </c>
      <c r="C66" s="0" t="s">
        <v>152</v>
      </c>
      <c r="D66" s="15" t="n">
        <v>45552</v>
      </c>
      <c r="E66" s="15" t="n">
        <v>45701</v>
      </c>
      <c r="F66" s="15" t="n">
        <v>45723</v>
      </c>
      <c r="G66" s="0" t="n">
        <v>707569.07</v>
      </c>
      <c r="H66" s="0" t="n">
        <v>766489</v>
      </c>
      <c r="I66" s="16" t="s">
        <v>198</v>
      </c>
      <c r="J66" s="0" t="n">
        <v>108.33</v>
      </c>
      <c r="K66" s="17" t="b">
        <f aca="false">FALSE()</f>
        <v>0</v>
      </c>
    </row>
    <row r="67" customFormat="false" ht="15" hidden="false" customHeight="false" outlineLevel="0" collapsed="false">
      <c r="A67" s="0" t="s">
        <v>319</v>
      </c>
      <c r="B67" s="0" t="s">
        <v>219</v>
      </c>
      <c r="C67" s="0" t="s">
        <v>82</v>
      </c>
      <c r="D67" s="15" t="n">
        <v>45133</v>
      </c>
      <c r="E67" s="15" t="n">
        <v>45278</v>
      </c>
      <c r="F67" s="15" t="n">
        <v>45292</v>
      </c>
      <c r="G67" s="0" t="n">
        <v>1446131.63</v>
      </c>
      <c r="H67" s="0" t="n">
        <v>1447121.96</v>
      </c>
      <c r="I67" s="16" t="s">
        <v>198</v>
      </c>
      <c r="J67" s="0" t="n">
        <v>100.07</v>
      </c>
      <c r="K67" s="17" t="b">
        <f aca="false">FALSE()</f>
        <v>0</v>
      </c>
    </row>
    <row r="68" customFormat="false" ht="15" hidden="false" customHeight="false" outlineLevel="0" collapsed="false">
      <c r="A68" s="0" t="s">
        <v>320</v>
      </c>
      <c r="B68" s="0" t="s">
        <v>321</v>
      </c>
      <c r="C68" s="0" t="s">
        <v>67</v>
      </c>
      <c r="D68" s="15" t="n">
        <v>45574</v>
      </c>
      <c r="E68" s="15" t="n">
        <v>45687</v>
      </c>
      <c r="F68" s="15" t="n">
        <v>45685</v>
      </c>
      <c r="G68" s="0" t="n">
        <v>919321.17</v>
      </c>
      <c r="H68" s="0" t="n">
        <v>750403.8</v>
      </c>
      <c r="I68" s="16" t="s">
        <v>198</v>
      </c>
      <c r="J68" s="0" t="n">
        <v>81.63</v>
      </c>
      <c r="K68" s="17" t="b">
        <f aca="false">FALSE()</f>
        <v>0</v>
      </c>
    </row>
    <row r="69" customFormat="false" ht="15" hidden="false" customHeight="false" outlineLevel="0" collapsed="false">
      <c r="A69" s="0" t="s">
        <v>322</v>
      </c>
      <c r="B69" s="0" t="s">
        <v>323</v>
      </c>
      <c r="C69" s="0" t="s">
        <v>160</v>
      </c>
      <c r="D69" s="15" t="n">
        <v>45127</v>
      </c>
      <c r="E69" s="15" t="n">
        <v>45299</v>
      </c>
      <c r="F69" s="15" t="n">
        <v>45296</v>
      </c>
      <c r="G69" s="0" t="n">
        <v>259751.76</v>
      </c>
      <c r="H69" s="0" t="n">
        <v>265994.53</v>
      </c>
      <c r="I69" s="16" t="s">
        <v>198</v>
      </c>
      <c r="J69" s="0" t="n">
        <v>102.4</v>
      </c>
      <c r="K69" s="17" t="b">
        <f aca="false">FALSE()</f>
        <v>0</v>
      </c>
    </row>
    <row r="70" customFormat="false" ht="15" hidden="false" customHeight="false" outlineLevel="0" collapsed="false">
      <c r="A70" s="0" t="s">
        <v>324</v>
      </c>
      <c r="B70" s="0" t="s">
        <v>200</v>
      </c>
      <c r="C70" s="0" t="s">
        <v>154</v>
      </c>
      <c r="D70" s="15" t="n">
        <v>45054</v>
      </c>
      <c r="E70" s="15" t="n">
        <v>45260</v>
      </c>
      <c r="F70" s="15" t="n">
        <v>45290</v>
      </c>
      <c r="G70" s="0" t="n">
        <v>1252512.27</v>
      </c>
      <c r="H70" s="0" t="n">
        <v>1323679.75</v>
      </c>
      <c r="I70" s="16" t="s">
        <v>198</v>
      </c>
      <c r="J70" s="0" t="n">
        <v>105.68</v>
      </c>
      <c r="K70" s="17" t="b">
        <f aca="false">FALSE()</f>
        <v>0</v>
      </c>
    </row>
    <row r="71" customFormat="false" ht="15" hidden="false" customHeight="false" outlineLevel="0" collapsed="false">
      <c r="A71" s="0" t="s">
        <v>325</v>
      </c>
      <c r="B71" s="0" t="s">
        <v>326</v>
      </c>
      <c r="C71" s="0" t="s">
        <v>117</v>
      </c>
      <c r="D71" s="15" t="n">
        <v>45015</v>
      </c>
      <c r="E71" s="15" t="n">
        <v>45148</v>
      </c>
      <c r="F71" s="15"/>
      <c r="G71" s="0" t="n">
        <v>800204.77</v>
      </c>
      <c r="H71" s="0" t="n">
        <v>405774.96</v>
      </c>
      <c r="I71" s="16" t="s">
        <v>201</v>
      </c>
      <c r="J71" s="0" t="n">
        <v>50.71</v>
      </c>
      <c r="K71" s="17" t="b">
        <f aca="false">TRUE()</f>
        <v>1</v>
      </c>
    </row>
    <row r="72" customFormat="false" ht="15" hidden="false" customHeight="false" outlineLevel="0" collapsed="false">
      <c r="A72" s="0" t="s">
        <v>327</v>
      </c>
      <c r="B72" s="0" t="s">
        <v>328</v>
      </c>
      <c r="C72" s="0" t="s">
        <v>154</v>
      </c>
      <c r="D72" s="15" t="n">
        <v>45649</v>
      </c>
      <c r="E72" s="15" t="n">
        <v>45767</v>
      </c>
      <c r="F72" s="15" t="n">
        <v>45787</v>
      </c>
      <c r="G72" s="0" t="n">
        <v>860438.68</v>
      </c>
      <c r="H72" s="0" t="n">
        <v>874450.69</v>
      </c>
      <c r="I72" s="16" t="s">
        <v>198</v>
      </c>
      <c r="J72" s="0" t="n">
        <v>101.63</v>
      </c>
      <c r="K72" s="17" t="b">
        <f aca="false">FALSE()</f>
        <v>0</v>
      </c>
    </row>
    <row r="73" customFormat="false" ht="15" hidden="false" customHeight="false" outlineLevel="0" collapsed="false">
      <c r="A73" s="0" t="s">
        <v>329</v>
      </c>
      <c r="B73" s="0" t="s">
        <v>245</v>
      </c>
      <c r="C73" s="0" t="s">
        <v>119</v>
      </c>
      <c r="D73" s="15" t="n">
        <v>45076</v>
      </c>
      <c r="E73" s="15" t="n">
        <v>45165</v>
      </c>
      <c r="F73" s="15" t="n">
        <v>45162</v>
      </c>
      <c r="G73" s="0" t="n">
        <v>823092.46</v>
      </c>
      <c r="H73" s="0" t="n">
        <v>851321.63</v>
      </c>
      <c r="I73" s="16" t="s">
        <v>198</v>
      </c>
      <c r="J73" s="0" t="n">
        <v>103.43</v>
      </c>
      <c r="K73" s="17" t="b">
        <f aca="false">FALSE()</f>
        <v>0</v>
      </c>
    </row>
    <row r="74" customFormat="false" ht="15" hidden="false" customHeight="false" outlineLevel="0" collapsed="false">
      <c r="A74" s="0" t="s">
        <v>330</v>
      </c>
      <c r="B74" s="0" t="s">
        <v>276</v>
      </c>
      <c r="C74" s="0" t="s">
        <v>172</v>
      </c>
      <c r="D74" s="15" t="n">
        <v>44941</v>
      </c>
      <c r="E74" s="15" t="n">
        <v>45020</v>
      </c>
      <c r="F74" s="15" t="n">
        <v>45035</v>
      </c>
      <c r="G74" s="0" t="n">
        <v>727424.09</v>
      </c>
      <c r="H74" s="0" t="n">
        <v>702192.74</v>
      </c>
      <c r="I74" s="16" t="s">
        <v>198</v>
      </c>
      <c r="J74" s="0" t="n">
        <v>96.53</v>
      </c>
      <c r="K74" s="17" t="b">
        <f aca="false">FALSE()</f>
        <v>0</v>
      </c>
    </row>
    <row r="75" customFormat="false" ht="15" hidden="false" customHeight="false" outlineLevel="0" collapsed="false">
      <c r="A75" s="0" t="s">
        <v>331</v>
      </c>
      <c r="B75" s="0" t="s">
        <v>321</v>
      </c>
      <c r="C75" s="0" t="s">
        <v>150</v>
      </c>
      <c r="D75" s="15" t="n">
        <v>45784</v>
      </c>
      <c r="E75" s="15" t="n">
        <v>45886</v>
      </c>
      <c r="F75" s="15" t="n">
        <v>45908</v>
      </c>
      <c r="G75" s="0" t="n">
        <v>775803.83</v>
      </c>
      <c r="H75" s="0" t="n">
        <v>669050.49</v>
      </c>
      <c r="I75" s="16" t="s">
        <v>206</v>
      </c>
      <c r="J75" s="0" t="n">
        <v>86.24</v>
      </c>
      <c r="K75" s="17" t="b">
        <f aca="false">TRUE()</f>
        <v>1</v>
      </c>
    </row>
    <row r="76" customFormat="false" ht="15" hidden="false" customHeight="false" outlineLevel="0" collapsed="false">
      <c r="A76" s="0" t="s">
        <v>332</v>
      </c>
      <c r="B76" s="0" t="s">
        <v>333</v>
      </c>
      <c r="C76" s="0" t="s">
        <v>63</v>
      </c>
      <c r="D76" s="15" t="n">
        <v>45655</v>
      </c>
      <c r="E76" s="15" t="n">
        <v>45717</v>
      </c>
      <c r="F76" s="15" t="n">
        <v>45705</v>
      </c>
      <c r="G76" s="0" t="n">
        <v>1405729.47</v>
      </c>
      <c r="H76" s="0" t="n">
        <v>1425181.71</v>
      </c>
      <c r="I76" s="16" t="s">
        <v>198</v>
      </c>
      <c r="J76" s="0" t="n">
        <v>101.38</v>
      </c>
      <c r="K76" s="17" t="b">
        <f aca="false">FALSE()</f>
        <v>0</v>
      </c>
    </row>
    <row r="77" customFormat="false" ht="15" hidden="false" customHeight="false" outlineLevel="0" collapsed="false">
      <c r="A77" s="0" t="s">
        <v>334</v>
      </c>
      <c r="B77" s="0" t="s">
        <v>285</v>
      </c>
      <c r="C77" s="0" t="s">
        <v>164</v>
      </c>
      <c r="D77" s="15" t="n">
        <v>45567</v>
      </c>
      <c r="E77" s="15" t="n">
        <v>45623</v>
      </c>
      <c r="F77" s="15"/>
      <c r="G77" s="0" t="n">
        <v>1456457.34</v>
      </c>
      <c r="H77" s="0" t="n">
        <v>205096.99</v>
      </c>
      <c r="I77" s="16" t="s">
        <v>195</v>
      </c>
      <c r="J77" s="0" t="n">
        <v>14.08</v>
      </c>
      <c r="K77" s="17" t="b">
        <f aca="false">FALSE()</f>
        <v>0</v>
      </c>
    </row>
    <row r="78" customFormat="false" ht="15" hidden="false" customHeight="false" outlineLevel="0" collapsed="false">
      <c r="A78" s="0" t="s">
        <v>335</v>
      </c>
      <c r="B78" s="0" t="s">
        <v>285</v>
      </c>
      <c r="C78" s="0" t="s">
        <v>123</v>
      </c>
      <c r="D78" s="15" t="n">
        <v>44939</v>
      </c>
      <c r="E78" s="15" t="n">
        <v>44982</v>
      </c>
      <c r="F78" s="15" t="n">
        <v>44997</v>
      </c>
      <c r="G78" s="0" t="n">
        <v>329513.49</v>
      </c>
      <c r="H78" s="0" t="n">
        <v>240348.64</v>
      </c>
      <c r="I78" s="16" t="s">
        <v>198</v>
      </c>
      <c r="J78" s="0" t="n">
        <v>72.94</v>
      </c>
      <c r="K78" s="17" t="b">
        <f aca="false">FALSE()</f>
        <v>0</v>
      </c>
    </row>
    <row r="79" customFormat="false" ht="15" hidden="false" customHeight="false" outlineLevel="0" collapsed="false">
      <c r="A79" s="0" t="s">
        <v>336</v>
      </c>
      <c r="B79" s="0" t="s">
        <v>337</v>
      </c>
      <c r="C79" s="0" t="s">
        <v>79</v>
      </c>
      <c r="D79" s="15" t="n">
        <v>45743</v>
      </c>
      <c r="E79" s="15" t="n">
        <v>45934</v>
      </c>
      <c r="F79" s="15"/>
      <c r="G79" s="0" t="n">
        <v>421731.17</v>
      </c>
      <c r="H79" s="0" t="n">
        <v>281631.84</v>
      </c>
      <c r="I79" s="16" t="s">
        <v>201</v>
      </c>
      <c r="J79" s="0" t="n">
        <v>66.78</v>
      </c>
      <c r="K79" s="17" t="b">
        <f aca="false">TRUE()</f>
        <v>1</v>
      </c>
    </row>
    <row r="80" customFormat="false" ht="15" hidden="false" customHeight="false" outlineLevel="0" collapsed="false">
      <c r="A80" s="0" t="s">
        <v>338</v>
      </c>
      <c r="B80" s="0" t="s">
        <v>339</v>
      </c>
      <c r="C80" s="0" t="s">
        <v>82</v>
      </c>
      <c r="D80" s="15" t="n">
        <v>45070</v>
      </c>
      <c r="E80" s="15" t="n">
        <v>45130</v>
      </c>
      <c r="F80" s="15"/>
      <c r="G80" s="0" t="n">
        <v>1069626.35</v>
      </c>
      <c r="H80" s="0" t="n">
        <v>553305.72</v>
      </c>
      <c r="I80" s="16" t="s">
        <v>201</v>
      </c>
      <c r="J80" s="0" t="n">
        <v>51.73</v>
      </c>
      <c r="K80" s="17" t="b">
        <f aca="false">TRUE()</f>
        <v>1</v>
      </c>
    </row>
    <row r="81" customFormat="false" ht="15" hidden="false" customHeight="false" outlineLevel="0" collapsed="false">
      <c r="A81" s="0" t="s">
        <v>340</v>
      </c>
      <c r="B81" s="0" t="s">
        <v>296</v>
      </c>
      <c r="C81" s="0" t="s">
        <v>108</v>
      </c>
      <c r="D81" s="15" t="n">
        <v>45632</v>
      </c>
      <c r="E81" s="15" t="n">
        <v>45759</v>
      </c>
      <c r="F81" s="15" t="n">
        <v>45772</v>
      </c>
      <c r="G81" s="0" t="n">
        <v>778515.17</v>
      </c>
      <c r="H81" s="0" t="n">
        <v>751139.71</v>
      </c>
      <c r="I81" s="16" t="s">
        <v>198</v>
      </c>
      <c r="J81" s="0" t="n">
        <v>96.48</v>
      </c>
      <c r="K81" s="17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1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3" t="s">
        <v>341</v>
      </c>
      <c r="B1" s="3" t="s">
        <v>184</v>
      </c>
      <c r="C1" s="3" t="s">
        <v>342</v>
      </c>
      <c r="D1" s="3" t="s">
        <v>343</v>
      </c>
      <c r="E1" s="3" t="s">
        <v>344</v>
      </c>
      <c r="F1" s="3" t="s">
        <v>345</v>
      </c>
      <c r="G1" s="3" t="s">
        <v>346</v>
      </c>
      <c r="H1" s="3" t="s">
        <v>347</v>
      </c>
      <c r="I1" s="3" t="s">
        <v>348</v>
      </c>
      <c r="J1" s="3" t="s">
        <v>349</v>
      </c>
    </row>
    <row r="2" customFormat="false" ht="15" hidden="false" customHeight="false" outlineLevel="0" collapsed="false">
      <c r="A2" s="0" t="s">
        <v>350</v>
      </c>
      <c r="B2" s="0" t="s">
        <v>276</v>
      </c>
      <c r="C2" s="0" t="s">
        <v>351</v>
      </c>
      <c r="D2" s="0" t="s">
        <v>352</v>
      </c>
      <c r="E2" s="15" t="n">
        <v>45525</v>
      </c>
      <c r="F2" s="15" t="n">
        <v>45565</v>
      </c>
      <c r="G2" s="0" t="n">
        <v>76.9</v>
      </c>
      <c r="H2" s="0" t="n">
        <v>53.8</v>
      </c>
      <c r="I2" s="16" t="s">
        <v>198</v>
      </c>
      <c r="J2" s="0" t="n">
        <v>-23.1</v>
      </c>
    </row>
    <row r="3" customFormat="false" ht="15" hidden="false" customHeight="false" outlineLevel="0" collapsed="false">
      <c r="A3" s="0" t="s">
        <v>353</v>
      </c>
      <c r="B3" s="0" t="s">
        <v>253</v>
      </c>
      <c r="C3" s="0" t="s">
        <v>354</v>
      </c>
      <c r="D3" s="0" t="s">
        <v>355</v>
      </c>
      <c r="E3" s="15" t="n">
        <v>45200</v>
      </c>
      <c r="F3" s="15" t="n">
        <v>45211</v>
      </c>
      <c r="G3" s="0" t="n">
        <v>20.7</v>
      </c>
      <c r="H3" s="0" t="n">
        <v>23.8</v>
      </c>
      <c r="I3" s="16" t="s">
        <v>198</v>
      </c>
      <c r="J3" s="0" t="n">
        <v>3.1</v>
      </c>
    </row>
    <row r="4" customFormat="false" ht="15" hidden="false" customHeight="false" outlineLevel="0" collapsed="false">
      <c r="A4" s="0" t="s">
        <v>356</v>
      </c>
      <c r="B4" s="0" t="s">
        <v>299</v>
      </c>
      <c r="C4" s="0" t="s">
        <v>357</v>
      </c>
      <c r="D4" s="0" t="s">
        <v>358</v>
      </c>
      <c r="E4" s="15" t="n">
        <v>46034</v>
      </c>
      <c r="F4" s="15" t="n">
        <v>46065</v>
      </c>
      <c r="G4" s="0" t="n">
        <v>24.7</v>
      </c>
      <c r="H4" s="0" t="n">
        <v>20.5</v>
      </c>
      <c r="I4" s="16" t="s">
        <v>198</v>
      </c>
      <c r="J4" s="0" t="n">
        <v>-4.2</v>
      </c>
    </row>
    <row r="5" customFormat="false" ht="15" hidden="false" customHeight="false" outlineLevel="0" collapsed="false">
      <c r="A5" s="0" t="s">
        <v>359</v>
      </c>
      <c r="B5" s="0" t="s">
        <v>308</v>
      </c>
      <c r="C5" s="0" t="s">
        <v>360</v>
      </c>
      <c r="D5" s="0" t="s">
        <v>352</v>
      </c>
      <c r="E5" s="15" t="n">
        <v>44915</v>
      </c>
      <c r="F5" s="15" t="n">
        <v>44932</v>
      </c>
      <c r="G5" s="0" t="n">
        <v>63.5</v>
      </c>
      <c r="H5" s="0" t="n">
        <v>77.8</v>
      </c>
      <c r="I5" s="16" t="s">
        <v>198</v>
      </c>
      <c r="J5" s="0" t="n">
        <v>14.3</v>
      </c>
    </row>
    <row r="6" customFormat="false" ht="15" hidden="false" customHeight="false" outlineLevel="0" collapsed="false">
      <c r="A6" s="0" t="s">
        <v>361</v>
      </c>
      <c r="B6" s="0" t="s">
        <v>203</v>
      </c>
      <c r="C6" s="0" t="s">
        <v>354</v>
      </c>
      <c r="D6" s="0" t="s">
        <v>355</v>
      </c>
      <c r="E6" s="15" t="n">
        <v>45454</v>
      </c>
      <c r="F6" s="15" t="n">
        <v>45496</v>
      </c>
      <c r="G6" s="0" t="n">
        <v>13.6</v>
      </c>
      <c r="H6" s="0" t="n">
        <v>11.8</v>
      </c>
      <c r="I6" s="16" t="s">
        <v>198</v>
      </c>
      <c r="J6" s="0" t="n">
        <v>-1.8</v>
      </c>
    </row>
    <row r="7" customFormat="false" ht="15" hidden="false" customHeight="false" outlineLevel="0" collapsed="false">
      <c r="A7" s="0" t="s">
        <v>362</v>
      </c>
      <c r="B7" s="0" t="s">
        <v>213</v>
      </c>
      <c r="C7" s="0" t="s">
        <v>363</v>
      </c>
      <c r="D7" s="0" t="s">
        <v>358</v>
      </c>
      <c r="E7" s="15" t="n">
        <v>44926</v>
      </c>
      <c r="F7" s="15"/>
      <c r="G7" s="0" t="n">
        <v>48.4</v>
      </c>
      <c r="H7" s="0" t="n">
        <v>35.9</v>
      </c>
      <c r="I7" s="16" t="s">
        <v>364</v>
      </c>
      <c r="J7" s="0" t="n">
        <v>-12.5</v>
      </c>
    </row>
    <row r="8" customFormat="false" ht="15" hidden="false" customHeight="false" outlineLevel="0" collapsed="false">
      <c r="A8" s="0" t="s">
        <v>365</v>
      </c>
      <c r="B8" s="0" t="s">
        <v>305</v>
      </c>
      <c r="C8" s="0" t="s">
        <v>366</v>
      </c>
      <c r="D8" s="0" t="s">
        <v>367</v>
      </c>
      <c r="E8" s="15" t="n">
        <v>44634</v>
      </c>
      <c r="F8" s="15" t="n">
        <v>44654</v>
      </c>
      <c r="G8" s="0" t="n">
        <v>56.6</v>
      </c>
      <c r="H8" s="0" t="n">
        <v>87.3</v>
      </c>
      <c r="I8" s="16" t="s">
        <v>198</v>
      </c>
      <c r="J8" s="0" t="n">
        <v>30.7</v>
      </c>
    </row>
    <row r="9" customFormat="false" ht="15" hidden="false" customHeight="false" outlineLevel="0" collapsed="false">
      <c r="A9" s="0" t="s">
        <v>368</v>
      </c>
      <c r="B9" s="0" t="s">
        <v>305</v>
      </c>
      <c r="C9" s="0" t="s">
        <v>369</v>
      </c>
      <c r="D9" s="0" t="s">
        <v>355</v>
      </c>
      <c r="E9" s="15" t="n">
        <v>44623</v>
      </c>
      <c r="F9" s="15" t="n">
        <v>44651</v>
      </c>
      <c r="G9" s="0" t="n">
        <v>59.3</v>
      </c>
      <c r="H9" s="0" t="n">
        <v>71.4</v>
      </c>
      <c r="I9" s="16" t="s">
        <v>198</v>
      </c>
      <c r="J9" s="0" t="n">
        <v>12.1</v>
      </c>
    </row>
    <row r="10" customFormat="false" ht="15" hidden="false" customHeight="false" outlineLevel="0" collapsed="false">
      <c r="A10" s="0" t="s">
        <v>370</v>
      </c>
      <c r="B10" s="0" t="s">
        <v>257</v>
      </c>
      <c r="C10" s="0" t="s">
        <v>351</v>
      </c>
      <c r="D10" s="0" t="s">
        <v>358</v>
      </c>
      <c r="E10" s="15" t="n">
        <v>44956</v>
      </c>
      <c r="F10" s="15"/>
      <c r="G10" s="0" t="n">
        <v>37.1</v>
      </c>
      <c r="H10" s="0" t="n">
        <v>40.1</v>
      </c>
      <c r="I10" s="16" t="s">
        <v>364</v>
      </c>
      <c r="J10" s="0" t="n">
        <v>3</v>
      </c>
    </row>
    <row r="11" customFormat="false" ht="15" hidden="false" customHeight="false" outlineLevel="0" collapsed="false">
      <c r="A11" s="0" t="s">
        <v>371</v>
      </c>
      <c r="B11" s="0" t="s">
        <v>321</v>
      </c>
      <c r="C11" s="0" t="s">
        <v>372</v>
      </c>
      <c r="D11" s="0" t="s">
        <v>358</v>
      </c>
      <c r="E11" s="15" t="n">
        <v>45794</v>
      </c>
      <c r="F11" s="15"/>
      <c r="G11" s="0" t="n">
        <v>15.7</v>
      </c>
      <c r="H11" s="0" t="n">
        <v>7.3</v>
      </c>
      <c r="I11" s="16" t="s">
        <v>364</v>
      </c>
      <c r="J11" s="0" t="n">
        <v>-8.4</v>
      </c>
    </row>
    <row r="12" customFormat="false" ht="15" hidden="false" customHeight="false" outlineLevel="0" collapsed="false">
      <c r="A12" s="0" t="s">
        <v>373</v>
      </c>
      <c r="B12" s="0" t="s">
        <v>245</v>
      </c>
      <c r="C12" s="0" t="s">
        <v>374</v>
      </c>
      <c r="D12" s="0" t="s">
        <v>358</v>
      </c>
      <c r="E12" s="15" t="n">
        <v>44761</v>
      </c>
      <c r="F12" s="15" t="n">
        <v>44793</v>
      </c>
      <c r="G12" s="0" t="n">
        <v>77.6</v>
      </c>
      <c r="H12" s="0" t="n">
        <v>83</v>
      </c>
      <c r="I12" s="16" t="s">
        <v>198</v>
      </c>
      <c r="J12" s="0" t="n">
        <v>5.4</v>
      </c>
    </row>
    <row r="13" customFormat="false" ht="15" hidden="false" customHeight="false" outlineLevel="0" collapsed="false">
      <c r="A13" s="0" t="s">
        <v>375</v>
      </c>
      <c r="B13" s="0" t="s">
        <v>279</v>
      </c>
      <c r="C13" s="0" t="s">
        <v>376</v>
      </c>
      <c r="D13" s="0" t="s">
        <v>367</v>
      </c>
      <c r="E13" s="15" t="n">
        <v>45667</v>
      </c>
      <c r="F13" s="15" t="n">
        <v>45678</v>
      </c>
      <c r="G13" s="0" t="n">
        <v>27.7</v>
      </c>
      <c r="H13" s="0" t="n">
        <v>35.8</v>
      </c>
      <c r="I13" s="16" t="s">
        <v>198</v>
      </c>
      <c r="J13" s="0" t="n">
        <v>8.1</v>
      </c>
    </row>
    <row r="14" customFormat="false" ht="15" hidden="false" customHeight="false" outlineLevel="0" collapsed="false">
      <c r="A14" s="0" t="s">
        <v>377</v>
      </c>
      <c r="B14" s="0" t="s">
        <v>328</v>
      </c>
      <c r="C14" s="0" t="s">
        <v>351</v>
      </c>
      <c r="D14" s="0" t="s">
        <v>367</v>
      </c>
      <c r="E14" s="15" t="n">
        <v>45658</v>
      </c>
      <c r="F14" s="15" t="n">
        <v>45679</v>
      </c>
      <c r="G14" s="0" t="n">
        <v>21.7</v>
      </c>
      <c r="H14" s="0" t="n">
        <v>15.5</v>
      </c>
      <c r="I14" s="16" t="s">
        <v>198</v>
      </c>
      <c r="J14" s="0" t="n">
        <v>-6.2</v>
      </c>
    </row>
    <row r="15" customFormat="false" ht="15" hidden="false" customHeight="false" outlineLevel="0" collapsed="false">
      <c r="A15" s="0" t="s">
        <v>378</v>
      </c>
      <c r="B15" s="0" t="s">
        <v>219</v>
      </c>
      <c r="C15" s="0" t="s">
        <v>366</v>
      </c>
      <c r="D15" s="0" t="s">
        <v>358</v>
      </c>
      <c r="E15" s="15" t="n">
        <v>45133</v>
      </c>
      <c r="F15" s="15" t="n">
        <v>45168</v>
      </c>
      <c r="G15" s="0" t="n">
        <v>38</v>
      </c>
      <c r="H15" s="0" t="n">
        <v>24.9</v>
      </c>
      <c r="I15" s="16" t="s">
        <v>198</v>
      </c>
      <c r="J15" s="0" t="n">
        <v>-13.1</v>
      </c>
    </row>
    <row r="16" customFormat="false" ht="15" hidden="false" customHeight="false" outlineLevel="0" collapsed="false">
      <c r="A16" s="0" t="s">
        <v>379</v>
      </c>
      <c r="B16" s="0" t="s">
        <v>296</v>
      </c>
      <c r="C16" s="0" t="s">
        <v>366</v>
      </c>
      <c r="D16" s="0" t="s">
        <v>352</v>
      </c>
      <c r="E16" s="15" t="n">
        <v>45825</v>
      </c>
      <c r="F16" s="15" t="n">
        <v>45854</v>
      </c>
      <c r="G16" s="0" t="n">
        <v>61.3</v>
      </c>
      <c r="H16" s="0" t="n">
        <v>0</v>
      </c>
      <c r="I16" s="16" t="s">
        <v>198</v>
      </c>
      <c r="J16" s="0" t="n">
        <v>-61.3</v>
      </c>
    </row>
    <row r="17" customFormat="false" ht="15" hidden="false" customHeight="false" outlineLevel="0" collapsed="false">
      <c r="A17" s="0" t="s">
        <v>380</v>
      </c>
      <c r="B17" s="0" t="s">
        <v>270</v>
      </c>
      <c r="C17" s="0" t="s">
        <v>360</v>
      </c>
      <c r="D17" s="0" t="s">
        <v>352</v>
      </c>
      <c r="E17" s="15" t="n">
        <v>45021</v>
      </c>
      <c r="F17" s="15"/>
      <c r="G17" s="0" t="n">
        <v>39.8</v>
      </c>
      <c r="H17" s="0" t="n">
        <v>1</v>
      </c>
      <c r="I17" s="16" t="s">
        <v>364</v>
      </c>
      <c r="J17" s="0" t="n">
        <v>-38.8</v>
      </c>
    </row>
    <row r="18" customFormat="false" ht="15" hidden="false" customHeight="false" outlineLevel="0" collapsed="false">
      <c r="A18" s="0" t="s">
        <v>381</v>
      </c>
      <c r="B18" s="0" t="s">
        <v>239</v>
      </c>
      <c r="C18" s="0" t="s">
        <v>382</v>
      </c>
      <c r="D18" s="0" t="s">
        <v>355</v>
      </c>
      <c r="E18" s="15" t="n">
        <v>45272</v>
      </c>
      <c r="F18" s="15" t="n">
        <v>45308</v>
      </c>
      <c r="G18" s="0" t="n">
        <v>33.8</v>
      </c>
      <c r="H18" s="0" t="n">
        <v>27.9</v>
      </c>
      <c r="I18" s="16" t="s">
        <v>198</v>
      </c>
      <c r="J18" s="0" t="n">
        <v>-5.9</v>
      </c>
    </row>
    <row r="19" customFormat="false" ht="15" hidden="false" customHeight="false" outlineLevel="0" collapsed="false">
      <c r="A19" s="0" t="s">
        <v>383</v>
      </c>
      <c r="B19" s="0" t="s">
        <v>310</v>
      </c>
      <c r="C19" s="0" t="s">
        <v>366</v>
      </c>
      <c r="D19" s="0" t="s">
        <v>358</v>
      </c>
      <c r="E19" s="15" t="n">
        <v>45404</v>
      </c>
      <c r="F19" s="15" t="n">
        <v>45414</v>
      </c>
      <c r="G19" s="0" t="n">
        <v>40.9</v>
      </c>
      <c r="H19" s="0" t="n">
        <v>53.8</v>
      </c>
      <c r="I19" s="16" t="s">
        <v>198</v>
      </c>
      <c r="J19" s="0" t="n">
        <v>12.9</v>
      </c>
    </row>
    <row r="20" customFormat="false" ht="15" hidden="false" customHeight="false" outlineLevel="0" collapsed="false">
      <c r="A20" s="0" t="s">
        <v>384</v>
      </c>
      <c r="B20" s="0" t="s">
        <v>231</v>
      </c>
      <c r="C20" s="0" t="s">
        <v>374</v>
      </c>
      <c r="D20" s="0" t="s">
        <v>352</v>
      </c>
      <c r="E20" s="15" t="n">
        <v>45461</v>
      </c>
      <c r="F20" s="15"/>
      <c r="G20" s="0" t="n">
        <v>21</v>
      </c>
      <c r="H20" s="0" t="n">
        <v>10.4</v>
      </c>
      <c r="I20" s="16" t="s">
        <v>364</v>
      </c>
      <c r="J20" s="0" t="n">
        <v>-10.6</v>
      </c>
    </row>
    <row r="21" customFormat="false" ht="15" hidden="false" customHeight="false" outlineLevel="0" collapsed="false">
      <c r="A21" s="0" t="s">
        <v>385</v>
      </c>
      <c r="B21" s="0" t="s">
        <v>285</v>
      </c>
      <c r="C21" s="0" t="s">
        <v>351</v>
      </c>
      <c r="D21" s="0" t="s">
        <v>367</v>
      </c>
      <c r="E21" s="15" t="n">
        <v>45069</v>
      </c>
      <c r="F21" s="15" t="n">
        <v>45078</v>
      </c>
      <c r="G21" s="0" t="n">
        <v>69.4</v>
      </c>
      <c r="H21" s="0" t="n">
        <v>60.8</v>
      </c>
      <c r="I21" s="16" t="s">
        <v>198</v>
      </c>
      <c r="J21" s="0" t="n">
        <v>-8.6</v>
      </c>
    </row>
    <row r="22" customFormat="false" ht="15" hidden="false" customHeight="false" outlineLevel="0" collapsed="false">
      <c r="A22" s="0" t="s">
        <v>386</v>
      </c>
      <c r="B22" s="0" t="s">
        <v>283</v>
      </c>
      <c r="C22" s="0" t="s">
        <v>387</v>
      </c>
      <c r="D22" s="0" t="s">
        <v>367</v>
      </c>
      <c r="E22" s="15" t="n">
        <v>45604</v>
      </c>
      <c r="F22" s="15" t="n">
        <v>45605</v>
      </c>
      <c r="G22" s="0" t="n">
        <v>24.1</v>
      </c>
      <c r="H22" s="0" t="n">
        <v>21.7</v>
      </c>
      <c r="I22" s="16" t="s">
        <v>198</v>
      </c>
      <c r="J22" s="0" t="n">
        <v>-2.4</v>
      </c>
    </row>
    <row r="23" customFormat="false" ht="15" hidden="false" customHeight="false" outlineLevel="0" collapsed="false">
      <c r="A23" s="0" t="s">
        <v>388</v>
      </c>
      <c r="B23" s="0" t="s">
        <v>237</v>
      </c>
      <c r="C23" s="0" t="s">
        <v>374</v>
      </c>
      <c r="D23" s="0" t="s">
        <v>367</v>
      </c>
      <c r="E23" s="15" t="n">
        <v>45793</v>
      </c>
      <c r="F23" s="15" t="n">
        <v>45816</v>
      </c>
      <c r="G23" s="0" t="n">
        <v>27.9</v>
      </c>
      <c r="H23" s="0" t="n">
        <v>38</v>
      </c>
      <c r="I23" s="16" t="s">
        <v>198</v>
      </c>
      <c r="J23" s="0" t="n">
        <v>10.1</v>
      </c>
    </row>
    <row r="24" customFormat="false" ht="15" hidden="false" customHeight="false" outlineLevel="0" collapsed="false">
      <c r="A24" s="0" t="s">
        <v>389</v>
      </c>
      <c r="B24" s="0" t="s">
        <v>279</v>
      </c>
      <c r="C24" s="0" t="s">
        <v>382</v>
      </c>
      <c r="D24" s="0" t="s">
        <v>367</v>
      </c>
      <c r="E24" s="15" t="n">
        <v>45544</v>
      </c>
      <c r="F24" s="15"/>
      <c r="G24" s="0" t="n">
        <v>20.6</v>
      </c>
      <c r="H24" s="0" t="n">
        <v>7.1</v>
      </c>
      <c r="I24" s="16" t="s">
        <v>364</v>
      </c>
      <c r="J24" s="0" t="n">
        <v>-13.5</v>
      </c>
    </row>
    <row r="25" customFormat="false" ht="15" hidden="false" customHeight="false" outlineLevel="0" collapsed="false">
      <c r="A25" s="0" t="s">
        <v>390</v>
      </c>
      <c r="B25" s="0" t="s">
        <v>208</v>
      </c>
      <c r="C25" s="0" t="s">
        <v>382</v>
      </c>
      <c r="D25" s="0" t="s">
        <v>352</v>
      </c>
      <c r="E25" s="15" t="n">
        <v>45781</v>
      </c>
      <c r="F25" s="15" t="n">
        <v>45806</v>
      </c>
      <c r="G25" s="0" t="n">
        <v>32.1</v>
      </c>
      <c r="H25" s="0" t="n">
        <v>40.6</v>
      </c>
      <c r="I25" s="16" t="s">
        <v>198</v>
      </c>
      <c r="J25" s="0" t="n">
        <v>8.5</v>
      </c>
    </row>
    <row r="26" customFormat="false" ht="15" hidden="false" customHeight="false" outlineLevel="0" collapsed="false">
      <c r="A26" s="0" t="s">
        <v>391</v>
      </c>
      <c r="B26" s="0" t="s">
        <v>316</v>
      </c>
      <c r="C26" s="0" t="s">
        <v>382</v>
      </c>
      <c r="D26" s="0" t="s">
        <v>367</v>
      </c>
      <c r="E26" s="15" t="n">
        <v>45462</v>
      </c>
      <c r="F26" s="15" t="n">
        <v>45500</v>
      </c>
      <c r="G26" s="0" t="n">
        <v>27.9</v>
      </c>
      <c r="H26" s="0" t="n">
        <v>19.5</v>
      </c>
      <c r="I26" s="16" t="s">
        <v>198</v>
      </c>
      <c r="J26" s="0" t="n">
        <v>-8.4</v>
      </c>
    </row>
    <row r="27" customFormat="false" ht="15" hidden="false" customHeight="false" outlineLevel="0" collapsed="false">
      <c r="A27" s="0" t="s">
        <v>392</v>
      </c>
      <c r="B27" s="0" t="s">
        <v>223</v>
      </c>
      <c r="C27" s="0" t="s">
        <v>382</v>
      </c>
      <c r="D27" s="0" t="s">
        <v>352</v>
      </c>
      <c r="E27" s="15" t="n">
        <v>45239</v>
      </c>
      <c r="F27" s="15"/>
      <c r="G27" s="0" t="n">
        <v>3.2</v>
      </c>
      <c r="H27" s="0" t="n">
        <v>0.4</v>
      </c>
      <c r="I27" s="16" t="s">
        <v>364</v>
      </c>
      <c r="J27" s="0" t="n">
        <v>-2.8</v>
      </c>
    </row>
    <row r="28" customFormat="false" ht="15" hidden="false" customHeight="false" outlineLevel="0" collapsed="false">
      <c r="A28" s="0" t="s">
        <v>393</v>
      </c>
      <c r="B28" s="0" t="s">
        <v>217</v>
      </c>
      <c r="C28" s="0" t="s">
        <v>374</v>
      </c>
      <c r="D28" s="0" t="s">
        <v>355</v>
      </c>
      <c r="E28" s="15" t="n">
        <v>45540</v>
      </c>
      <c r="F28" s="15"/>
      <c r="G28" s="0" t="n">
        <v>22.7</v>
      </c>
      <c r="H28" s="0" t="n">
        <v>12.7</v>
      </c>
      <c r="I28" s="16" t="s">
        <v>364</v>
      </c>
      <c r="J28" s="0" t="n">
        <v>-10</v>
      </c>
    </row>
    <row r="29" customFormat="false" ht="15" hidden="false" customHeight="false" outlineLevel="0" collapsed="false">
      <c r="A29" s="0" t="s">
        <v>394</v>
      </c>
      <c r="B29" s="0" t="s">
        <v>281</v>
      </c>
      <c r="C29" s="0" t="s">
        <v>357</v>
      </c>
      <c r="D29" s="0" t="s">
        <v>367</v>
      </c>
      <c r="E29" s="15" t="n">
        <v>45640</v>
      </c>
      <c r="F29" s="15"/>
      <c r="G29" s="0" t="n">
        <v>31.6</v>
      </c>
      <c r="H29" s="0" t="n">
        <v>9</v>
      </c>
      <c r="I29" s="16" t="s">
        <v>364</v>
      </c>
      <c r="J29" s="0" t="n">
        <v>-22.6</v>
      </c>
    </row>
    <row r="30" customFormat="false" ht="15" hidden="false" customHeight="false" outlineLevel="0" collapsed="false">
      <c r="A30" s="0" t="s">
        <v>395</v>
      </c>
      <c r="B30" s="0" t="s">
        <v>326</v>
      </c>
      <c r="C30" s="0" t="s">
        <v>396</v>
      </c>
      <c r="D30" s="0" t="s">
        <v>355</v>
      </c>
      <c r="E30" s="15" t="n">
        <v>45024</v>
      </c>
      <c r="F30" s="15" t="n">
        <v>45040</v>
      </c>
      <c r="G30" s="0" t="n">
        <v>51.2</v>
      </c>
      <c r="H30" s="0" t="n">
        <v>77.9</v>
      </c>
      <c r="I30" s="16" t="s">
        <v>198</v>
      </c>
      <c r="J30" s="0" t="n">
        <v>26.7</v>
      </c>
    </row>
    <row r="31" customFormat="false" ht="15" hidden="false" customHeight="false" outlineLevel="0" collapsed="false">
      <c r="A31" s="0" t="s">
        <v>397</v>
      </c>
      <c r="B31" s="0" t="s">
        <v>303</v>
      </c>
      <c r="C31" s="0" t="s">
        <v>354</v>
      </c>
      <c r="D31" s="0" t="s">
        <v>358</v>
      </c>
      <c r="E31" s="15" t="n">
        <v>45046</v>
      </c>
      <c r="F31" s="15"/>
      <c r="G31" s="0" t="n">
        <v>56.9</v>
      </c>
      <c r="H31" s="0" t="n">
        <v>5.1</v>
      </c>
      <c r="I31" s="16" t="s">
        <v>364</v>
      </c>
      <c r="J31" s="0" t="n">
        <v>-51.8</v>
      </c>
    </row>
    <row r="32" customFormat="false" ht="15" hidden="false" customHeight="false" outlineLevel="0" collapsed="false">
      <c r="A32" s="0" t="s">
        <v>398</v>
      </c>
      <c r="B32" s="0" t="s">
        <v>203</v>
      </c>
      <c r="C32" s="0" t="s">
        <v>354</v>
      </c>
      <c r="D32" s="0" t="s">
        <v>352</v>
      </c>
      <c r="E32" s="15" t="n">
        <v>45057</v>
      </c>
      <c r="F32" s="15" t="n">
        <v>45061</v>
      </c>
      <c r="G32" s="0" t="n">
        <v>24.9</v>
      </c>
      <c r="H32" s="0" t="n">
        <v>24.3</v>
      </c>
      <c r="I32" s="16" t="s">
        <v>198</v>
      </c>
      <c r="J32" s="0" t="n">
        <v>-0.6</v>
      </c>
    </row>
    <row r="33" customFormat="false" ht="15" hidden="false" customHeight="false" outlineLevel="0" collapsed="false">
      <c r="A33" s="0" t="s">
        <v>399</v>
      </c>
      <c r="B33" s="0" t="s">
        <v>323</v>
      </c>
      <c r="C33" s="0" t="s">
        <v>382</v>
      </c>
      <c r="D33" s="0" t="s">
        <v>367</v>
      </c>
      <c r="E33" s="15" t="n">
        <v>45232</v>
      </c>
      <c r="F33" s="15" t="n">
        <v>45244</v>
      </c>
      <c r="G33" s="0" t="n">
        <v>15.3</v>
      </c>
      <c r="H33" s="0" t="n">
        <v>10.4</v>
      </c>
      <c r="I33" s="16" t="s">
        <v>198</v>
      </c>
      <c r="J33" s="0" t="n">
        <v>-4.9</v>
      </c>
    </row>
    <row r="34" customFormat="false" ht="15" hidden="false" customHeight="false" outlineLevel="0" collapsed="false">
      <c r="A34" s="0" t="s">
        <v>400</v>
      </c>
      <c r="B34" s="0" t="s">
        <v>296</v>
      </c>
      <c r="C34" s="0" t="s">
        <v>376</v>
      </c>
      <c r="D34" s="0" t="s">
        <v>367</v>
      </c>
      <c r="E34" s="15" t="n">
        <v>45806</v>
      </c>
      <c r="F34" s="15" t="n">
        <v>45844</v>
      </c>
      <c r="G34" s="0" t="n">
        <v>13.2</v>
      </c>
      <c r="H34" s="0" t="n">
        <v>14</v>
      </c>
      <c r="I34" s="16" t="s">
        <v>198</v>
      </c>
      <c r="J34" s="0" t="n">
        <v>0.8</v>
      </c>
    </row>
    <row r="35" customFormat="false" ht="15" hidden="false" customHeight="false" outlineLevel="0" collapsed="false">
      <c r="A35" s="0" t="s">
        <v>401</v>
      </c>
      <c r="B35" s="0" t="s">
        <v>262</v>
      </c>
      <c r="C35" s="0" t="s">
        <v>354</v>
      </c>
      <c r="D35" s="0" t="s">
        <v>355</v>
      </c>
      <c r="E35" s="15" t="n">
        <v>45347</v>
      </c>
      <c r="F35" s="15" t="n">
        <v>45377</v>
      </c>
      <c r="G35" s="0" t="n">
        <v>72.3</v>
      </c>
      <c r="H35" s="0" t="n">
        <v>92.4</v>
      </c>
      <c r="I35" s="16" t="s">
        <v>198</v>
      </c>
      <c r="J35" s="0" t="n">
        <v>20.1</v>
      </c>
    </row>
    <row r="36" customFormat="false" ht="15" hidden="false" customHeight="false" outlineLevel="0" collapsed="false">
      <c r="A36" s="0" t="s">
        <v>402</v>
      </c>
      <c r="B36" s="0" t="s">
        <v>305</v>
      </c>
      <c r="C36" s="0" t="s">
        <v>357</v>
      </c>
      <c r="D36" s="0" t="s">
        <v>358</v>
      </c>
      <c r="E36" s="15" t="n">
        <v>44691</v>
      </c>
      <c r="F36" s="15"/>
      <c r="G36" s="0" t="n">
        <v>25.3</v>
      </c>
      <c r="H36" s="0" t="n">
        <v>21.9</v>
      </c>
      <c r="I36" s="16" t="s">
        <v>364</v>
      </c>
      <c r="J36" s="0" t="n">
        <v>-3.4</v>
      </c>
    </row>
    <row r="37" customFormat="false" ht="15" hidden="false" customHeight="false" outlineLevel="0" collapsed="false">
      <c r="A37" s="0" t="s">
        <v>403</v>
      </c>
      <c r="B37" s="0" t="s">
        <v>308</v>
      </c>
      <c r="C37" s="0" t="s">
        <v>374</v>
      </c>
      <c r="D37" s="0" t="s">
        <v>358</v>
      </c>
      <c r="E37" s="15" t="n">
        <v>44974</v>
      </c>
      <c r="F37" s="15" t="n">
        <v>44999</v>
      </c>
      <c r="G37" s="0" t="n">
        <v>68.6</v>
      </c>
      <c r="H37" s="0" t="n">
        <v>48.5</v>
      </c>
      <c r="I37" s="16" t="s">
        <v>198</v>
      </c>
      <c r="J37" s="0" t="n">
        <v>-20.1</v>
      </c>
    </row>
    <row r="38" customFormat="false" ht="15" hidden="false" customHeight="false" outlineLevel="0" collapsed="false">
      <c r="A38" s="0" t="s">
        <v>404</v>
      </c>
      <c r="B38" s="0" t="s">
        <v>321</v>
      </c>
      <c r="C38" s="0" t="s">
        <v>360</v>
      </c>
      <c r="D38" s="0" t="s">
        <v>367</v>
      </c>
      <c r="E38" s="15" t="n">
        <v>45859</v>
      </c>
      <c r="F38" s="15"/>
      <c r="G38" s="0" t="n">
        <v>25</v>
      </c>
      <c r="H38" s="0" t="n">
        <v>22</v>
      </c>
      <c r="I38" s="16" t="s">
        <v>364</v>
      </c>
      <c r="J38" s="0" t="n">
        <v>-3</v>
      </c>
    </row>
    <row r="39" customFormat="false" ht="15" hidden="false" customHeight="false" outlineLevel="0" collapsed="false">
      <c r="A39" s="0" t="s">
        <v>405</v>
      </c>
      <c r="B39" s="0" t="s">
        <v>268</v>
      </c>
      <c r="C39" s="0" t="s">
        <v>363</v>
      </c>
      <c r="D39" s="0" t="s">
        <v>367</v>
      </c>
      <c r="E39" s="15" t="n">
        <v>45806</v>
      </c>
      <c r="F39" s="15" t="n">
        <v>45850</v>
      </c>
      <c r="G39" s="0" t="n">
        <v>62.7</v>
      </c>
      <c r="H39" s="0" t="n">
        <v>98.7</v>
      </c>
      <c r="I39" s="16" t="s">
        <v>198</v>
      </c>
      <c r="J39" s="0" t="n">
        <v>36</v>
      </c>
    </row>
    <row r="40" customFormat="false" ht="15" hidden="false" customHeight="false" outlineLevel="0" collapsed="false">
      <c r="A40" s="0" t="s">
        <v>406</v>
      </c>
      <c r="B40" s="0" t="s">
        <v>270</v>
      </c>
      <c r="C40" s="0" t="s">
        <v>360</v>
      </c>
      <c r="D40" s="0" t="s">
        <v>352</v>
      </c>
      <c r="E40" s="15" t="n">
        <v>45107</v>
      </c>
      <c r="F40" s="15"/>
      <c r="G40" s="0" t="n">
        <v>49.4</v>
      </c>
      <c r="H40" s="0" t="n">
        <v>15.7</v>
      </c>
      <c r="I40" s="16" t="s">
        <v>364</v>
      </c>
      <c r="J40" s="0" t="n">
        <v>-33.7</v>
      </c>
    </row>
    <row r="41" customFormat="false" ht="15" hidden="false" customHeight="false" outlineLevel="0" collapsed="false">
      <c r="A41" s="0" t="s">
        <v>407</v>
      </c>
      <c r="B41" s="0" t="s">
        <v>296</v>
      </c>
      <c r="C41" s="0" t="s">
        <v>408</v>
      </c>
      <c r="D41" s="0" t="s">
        <v>355</v>
      </c>
      <c r="E41" s="15" t="n">
        <v>45696</v>
      </c>
      <c r="F41" s="15" t="n">
        <v>45739</v>
      </c>
      <c r="G41" s="0" t="n">
        <v>55.1</v>
      </c>
      <c r="H41" s="0" t="n">
        <v>40.6</v>
      </c>
      <c r="I41" s="16" t="s">
        <v>198</v>
      </c>
      <c r="J41" s="0" t="n">
        <v>-14.5</v>
      </c>
    </row>
    <row r="42" customFormat="false" ht="15" hidden="false" customHeight="false" outlineLevel="0" collapsed="false">
      <c r="A42" s="0" t="s">
        <v>409</v>
      </c>
      <c r="B42" s="0" t="s">
        <v>276</v>
      </c>
      <c r="C42" s="0" t="s">
        <v>376</v>
      </c>
      <c r="D42" s="0" t="s">
        <v>358</v>
      </c>
      <c r="E42" s="15" t="n">
        <v>45492</v>
      </c>
      <c r="F42" s="15" t="n">
        <v>45516</v>
      </c>
      <c r="G42" s="0" t="n">
        <v>59.1</v>
      </c>
      <c r="H42" s="0" t="n">
        <v>40.8</v>
      </c>
      <c r="I42" s="16" t="s">
        <v>198</v>
      </c>
      <c r="J42" s="0" t="n">
        <v>-18.3</v>
      </c>
    </row>
    <row r="43" customFormat="false" ht="15" hidden="false" customHeight="false" outlineLevel="0" collapsed="false">
      <c r="A43" s="0" t="s">
        <v>410</v>
      </c>
      <c r="B43" s="0" t="s">
        <v>231</v>
      </c>
      <c r="C43" s="0" t="s">
        <v>366</v>
      </c>
      <c r="D43" s="0" t="s">
        <v>358</v>
      </c>
      <c r="E43" s="15" t="n">
        <v>45382</v>
      </c>
      <c r="F43" s="15" t="n">
        <v>45417</v>
      </c>
      <c r="G43" s="0" t="n">
        <v>70.4</v>
      </c>
      <c r="H43" s="0" t="n">
        <v>68</v>
      </c>
      <c r="I43" s="16" t="s">
        <v>198</v>
      </c>
      <c r="J43" s="0" t="n">
        <v>-2.4</v>
      </c>
    </row>
    <row r="44" customFormat="false" ht="15" hidden="false" customHeight="false" outlineLevel="0" collapsed="false">
      <c r="A44" s="0" t="s">
        <v>411</v>
      </c>
      <c r="B44" s="0" t="s">
        <v>241</v>
      </c>
      <c r="C44" s="0" t="s">
        <v>376</v>
      </c>
      <c r="D44" s="0" t="s">
        <v>358</v>
      </c>
      <c r="E44" s="15" t="n">
        <v>45138</v>
      </c>
      <c r="F44" s="15"/>
      <c r="G44" s="0" t="n">
        <v>75.6</v>
      </c>
      <c r="H44" s="0" t="n">
        <v>65.8</v>
      </c>
      <c r="I44" s="16" t="s">
        <v>364</v>
      </c>
      <c r="J44" s="0" t="n">
        <v>-9.8</v>
      </c>
    </row>
    <row r="45" customFormat="false" ht="15" hidden="false" customHeight="false" outlineLevel="0" collapsed="false">
      <c r="A45" s="0" t="s">
        <v>412</v>
      </c>
      <c r="B45" s="0" t="s">
        <v>227</v>
      </c>
      <c r="C45" s="0" t="s">
        <v>382</v>
      </c>
      <c r="D45" s="0" t="s">
        <v>367</v>
      </c>
      <c r="E45" s="15" t="n">
        <v>46039</v>
      </c>
      <c r="F45" s="15"/>
      <c r="G45" s="0" t="n">
        <v>13</v>
      </c>
      <c r="H45" s="0" t="n">
        <v>11.3</v>
      </c>
      <c r="I45" s="16" t="s">
        <v>364</v>
      </c>
      <c r="J45" s="0" t="n">
        <v>-1.7</v>
      </c>
    </row>
    <row r="46" customFormat="false" ht="15" hidden="false" customHeight="false" outlineLevel="0" collapsed="false">
      <c r="A46" s="0" t="s">
        <v>413</v>
      </c>
      <c r="B46" s="0" t="s">
        <v>245</v>
      </c>
      <c r="C46" s="0" t="s">
        <v>372</v>
      </c>
      <c r="D46" s="0" t="s">
        <v>358</v>
      </c>
      <c r="E46" s="15" t="n">
        <v>45169</v>
      </c>
      <c r="F46" s="15" t="n">
        <v>45195</v>
      </c>
      <c r="G46" s="0" t="n">
        <v>3.1</v>
      </c>
      <c r="H46" s="0" t="n">
        <v>3.5</v>
      </c>
      <c r="I46" s="16" t="s">
        <v>198</v>
      </c>
      <c r="J46" s="0" t="n">
        <v>0.4</v>
      </c>
    </row>
    <row r="47" customFormat="false" ht="15" hidden="false" customHeight="false" outlineLevel="0" collapsed="false">
      <c r="A47" s="0" t="s">
        <v>414</v>
      </c>
      <c r="B47" s="0" t="s">
        <v>264</v>
      </c>
      <c r="C47" s="0" t="s">
        <v>396</v>
      </c>
      <c r="D47" s="0" t="s">
        <v>367</v>
      </c>
      <c r="E47" s="15" t="n">
        <v>45103</v>
      </c>
      <c r="F47" s="15" t="n">
        <v>45144</v>
      </c>
      <c r="G47" s="0" t="n">
        <v>75.3</v>
      </c>
      <c r="H47" s="0" t="n">
        <v>53.3</v>
      </c>
      <c r="I47" s="16" t="s">
        <v>198</v>
      </c>
      <c r="J47" s="0" t="n">
        <v>-22</v>
      </c>
    </row>
    <row r="48" customFormat="false" ht="15" hidden="false" customHeight="false" outlineLevel="0" collapsed="false">
      <c r="A48" s="0" t="s">
        <v>415</v>
      </c>
      <c r="B48" s="0" t="s">
        <v>203</v>
      </c>
      <c r="C48" s="0" t="s">
        <v>396</v>
      </c>
      <c r="D48" s="0" t="s">
        <v>355</v>
      </c>
      <c r="E48" s="15" t="n">
        <v>45204</v>
      </c>
      <c r="F48" s="15"/>
      <c r="G48" s="0" t="n">
        <v>45.8</v>
      </c>
      <c r="H48" s="0" t="n">
        <v>37.7</v>
      </c>
      <c r="I48" s="16" t="s">
        <v>364</v>
      </c>
      <c r="J48" s="0" t="n">
        <v>-8.1</v>
      </c>
    </row>
    <row r="49" customFormat="false" ht="15" hidden="false" customHeight="false" outlineLevel="0" collapsed="false">
      <c r="A49" s="0" t="s">
        <v>416</v>
      </c>
      <c r="B49" s="0" t="s">
        <v>310</v>
      </c>
      <c r="C49" s="0" t="s">
        <v>369</v>
      </c>
      <c r="D49" s="0" t="s">
        <v>358</v>
      </c>
      <c r="E49" s="15" t="n">
        <v>45553</v>
      </c>
      <c r="F49" s="15" t="n">
        <v>45580</v>
      </c>
      <c r="G49" s="0" t="n">
        <v>11.1</v>
      </c>
      <c r="H49" s="0" t="n">
        <v>7.2</v>
      </c>
      <c r="I49" s="16" t="s">
        <v>198</v>
      </c>
      <c r="J49" s="0" t="n">
        <v>-3.9</v>
      </c>
    </row>
    <row r="50" customFormat="false" ht="15" hidden="false" customHeight="false" outlineLevel="0" collapsed="false">
      <c r="A50" s="0" t="s">
        <v>417</v>
      </c>
      <c r="B50" s="0" t="s">
        <v>316</v>
      </c>
      <c r="C50" s="0" t="s">
        <v>360</v>
      </c>
      <c r="D50" s="0" t="s">
        <v>367</v>
      </c>
      <c r="E50" s="15" t="n">
        <v>45482</v>
      </c>
      <c r="F50" s="15" t="n">
        <v>45517</v>
      </c>
      <c r="G50" s="0" t="n">
        <v>12.6</v>
      </c>
      <c r="H50" s="0" t="n">
        <v>13.3</v>
      </c>
      <c r="I50" s="16" t="s">
        <v>198</v>
      </c>
      <c r="J50" s="0" t="n">
        <v>0.7</v>
      </c>
    </row>
    <row r="51" customFormat="false" ht="15" hidden="false" customHeight="false" outlineLevel="0" collapsed="false">
      <c r="A51" s="0" t="s">
        <v>418</v>
      </c>
      <c r="B51" s="0" t="s">
        <v>285</v>
      </c>
      <c r="C51" s="0" t="s">
        <v>387</v>
      </c>
      <c r="D51" s="0" t="s">
        <v>367</v>
      </c>
      <c r="E51" s="15" t="n">
        <v>45757</v>
      </c>
      <c r="F51" s="15" t="n">
        <v>45784</v>
      </c>
      <c r="G51" s="0" t="n">
        <v>53.1</v>
      </c>
      <c r="H51" s="0" t="n">
        <v>76.1</v>
      </c>
      <c r="I51" s="16" t="s">
        <v>198</v>
      </c>
      <c r="J51" s="0" t="n">
        <v>23</v>
      </c>
    </row>
    <row r="52" customFormat="false" ht="15" hidden="false" customHeight="false" outlineLevel="0" collapsed="false">
      <c r="A52" s="0" t="s">
        <v>419</v>
      </c>
      <c r="B52" s="0" t="s">
        <v>268</v>
      </c>
      <c r="C52" s="0" t="s">
        <v>382</v>
      </c>
      <c r="D52" s="0" t="s">
        <v>358</v>
      </c>
      <c r="E52" s="15" t="n">
        <v>45812</v>
      </c>
      <c r="F52" s="15" t="n">
        <v>45826</v>
      </c>
      <c r="G52" s="0" t="n">
        <v>36.6</v>
      </c>
      <c r="H52" s="0" t="n">
        <v>56.8</v>
      </c>
      <c r="I52" s="16" t="s">
        <v>198</v>
      </c>
      <c r="J52" s="0" t="n">
        <v>20.2</v>
      </c>
    </row>
    <row r="53" customFormat="false" ht="15" hidden="false" customHeight="false" outlineLevel="0" collapsed="false">
      <c r="A53" s="0" t="s">
        <v>420</v>
      </c>
      <c r="B53" s="0" t="s">
        <v>223</v>
      </c>
      <c r="C53" s="0" t="s">
        <v>396</v>
      </c>
      <c r="D53" s="0" t="s">
        <v>355</v>
      </c>
      <c r="E53" s="15" t="n">
        <v>45280</v>
      </c>
      <c r="F53" s="15" t="n">
        <v>45322</v>
      </c>
      <c r="G53" s="0" t="n">
        <v>30</v>
      </c>
      <c r="H53" s="0" t="n">
        <v>29.9</v>
      </c>
      <c r="I53" s="16" t="s">
        <v>198</v>
      </c>
      <c r="J53" s="0" t="n">
        <v>-0.1</v>
      </c>
    </row>
    <row r="54" customFormat="false" ht="15" hidden="false" customHeight="false" outlineLevel="0" collapsed="false">
      <c r="A54" s="0" t="s">
        <v>421</v>
      </c>
      <c r="B54" s="0" t="s">
        <v>308</v>
      </c>
      <c r="C54" s="0" t="s">
        <v>369</v>
      </c>
      <c r="D54" s="0" t="s">
        <v>358</v>
      </c>
      <c r="E54" s="15" t="n">
        <v>44920</v>
      </c>
      <c r="F54" s="15" t="n">
        <v>44962</v>
      </c>
      <c r="G54" s="0" t="n">
        <v>51.9</v>
      </c>
      <c r="H54" s="0" t="n">
        <v>81.5</v>
      </c>
      <c r="I54" s="16" t="s">
        <v>198</v>
      </c>
      <c r="J54" s="0" t="n">
        <v>29.6</v>
      </c>
    </row>
    <row r="55" customFormat="false" ht="15" hidden="false" customHeight="false" outlineLevel="0" collapsed="false">
      <c r="A55" s="0" t="s">
        <v>422</v>
      </c>
      <c r="B55" s="0" t="s">
        <v>260</v>
      </c>
      <c r="C55" s="0" t="s">
        <v>366</v>
      </c>
      <c r="D55" s="0" t="s">
        <v>352</v>
      </c>
      <c r="E55" s="15" t="n">
        <v>44997</v>
      </c>
      <c r="F55" s="15"/>
      <c r="G55" s="0" t="n">
        <v>18</v>
      </c>
      <c r="H55" s="0" t="n">
        <v>13.4</v>
      </c>
      <c r="I55" s="16" t="s">
        <v>364</v>
      </c>
      <c r="J55" s="0" t="n">
        <v>-4.6</v>
      </c>
    </row>
    <row r="56" customFormat="false" ht="15" hidden="false" customHeight="false" outlineLevel="0" collapsed="false">
      <c r="A56" s="0" t="s">
        <v>423</v>
      </c>
      <c r="B56" s="0" t="s">
        <v>285</v>
      </c>
      <c r="C56" s="0" t="s">
        <v>351</v>
      </c>
      <c r="D56" s="0" t="s">
        <v>355</v>
      </c>
      <c r="E56" s="15" t="n">
        <v>45622</v>
      </c>
      <c r="F56" s="15"/>
      <c r="G56" s="0" t="n">
        <v>20.2</v>
      </c>
      <c r="H56" s="0" t="n">
        <v>14.1</v>
      </c>
      <c r="I56" s="16" t="s">
        <v>364</v>
      </c>
      <c r="J56" s="0" t="n">
        <v>-6.1</v>
      </c>
    </row>
    <row r="57" customFormat="false" ht="15" hidden="false" customHeight="false" outlineLevel="0" collapsed="false">
      <c r="A57" s="0" t="s">
        <v>424</v>
      </c>
      <c r="B57" s="0" t="s">
        <v>268</v>
      </c>
      <c r="C57" s="0" t="s">
        <v>408</v>
      </c>
      <c r="D57" s="0" t="s">
        <v>355</v>
      </c>
      <c r="E57" s="15" t="n">
        <v>45056</v>
      </c>
      <c r="F57" s="15"/>
      <c r="G57" s="0" t="n">
        <v>44.1</v>
      </c>
      <c r="H57" s="0" t="n">
        <v>31.7</v>
      </c>
      <c r="I57" s="16" t="s">
        <v>364</v>
      </c>
      <c r="J57" s="0" t="n">
        <v>-12.4</v>
      </c>
    </row>
    <row r="58" customFormat="false" ht="15" hidden="false" customHeight="false" outlineLevel="0" collapsed="false">
      <c r="A58" s="0" t="s">
        <v>425</v>
      </c>
      <c r="B58" s="0" t="s">
        <v>231</v>
      </c>
      <c r="C58" s="0" t="s">
        <v>376</v>
      </c>
      <c r="D58" s="0" t="s">
        <v>355</v>
      </c>
      <c r="E58" s="15" t="n">
        <v>45600</v>
      </c>
      <c r="F58" s="15" t="n">
        <v>45616</v>
      </c>
      <c r="G58" s="0" t="n">
        <v>47.9</v>
      </c>
      <c r="H58" s="0" t="n">
        <v>29.5</v>
      </c>
      <c r="I58" s="16" t="s">
        <v>198</v>
      </c>
      <c r="J58" s="0" t="n">
        <v>-18.4</v>
      </c>
    </row>
    <row r="59" customFormat="false" ht="15" hidden="false" customHeight="false" outlineLevel="0" collapsed="false">
      <c r="A59" s="0" t="s">
        <v>426</v>
      </c>
      <c r="B59" s="0" t="s">
        <v>231</v>
      </c>
      <c r="C59" s="0" t="s">
        <v>351</v>
      </c>
      <c r="D59" s="0" t="s">
        <v>358</v>
      </c>
      <c r="E59" s="15" t="n">
        <v>45786</v>
      </c>
      <c r="F59" s="15" t="n">
        <v>45794</v>
      </c>
      <c r="G59" s="0" t="n">
        <v>60.2</v>
      </c>
      <c r="H59" s="0" t="n">
        <v>64.8</v>
      </c>
      <c r="I59" s="16" t="s">
        <v>198</v>
      </c>
      <c r="J59" s="0" t="n">
        <v>4.6</v>
      </c>
    </row>
    <row r="60" customFormat="false" ht="15" hidden="false" customHeight="false" outlineLevel="0" collapsed="false">
      <c r="A60" s="0" t="s">
        <v>427</v>
      </c>
      <c r="B60" s="0" t="s">
        <v>219</v>
      </c>
      <c r="C60" s="0" t="s">
        <v>357</v>
      </c>
      <c r="D60" s="0" t="s">
        <v>358</v>
      </c>
      <c r="E60" s="15" t="n">
        <v>45284</v>
      </c>
      <c r="F60" s="15" t="n">
        <v>45317</v>
      </c>
      <c r="G60" s="0" t="n">
        <v>19.3</v>
      </c>
      <c r="H60" s="0" t="n">
        <v>23.5</v>
      </c>
      <c r="I60" s="16" t="s">
        <v>198</v>
      </c>
      <c r="J60" s="0" t="n">
        <v>4.2</v>
      </c>
    </row>
    <row r="61" customFormat="false" ht="15" hidden="false" customHeight="false" outlineLevel="0" collapsed="false">
      <c r="A61" s="0" t="s">
        <v>428</v>
      </c>
      <c r="B61" s="0" t="s">
        <v>308</v>
      </c>
      <c r="C61" s="0" t="s">
        <v>374</v>
      </c>
      <c r="D61" s="0" t="s">
        <v>367</v>
      </c>
      <c r="E61" s="15" t="n">
        <v>45061</v>
      </c>
      <c r="F61" s="15"/>
      <c r="G61" s="0" t="n">
        <v>6.7</v>
      </c>
      <c r="H61" s="0" t="n">
        <v>2.9</v>
      </c>
      <c r="I61" s="16" t="s">
        <v>364</v>
      </c>
      <c r="J61" s="0" t="n">
        <v>-3.8</v>
      </c>
    </row>
    <row r="62" customFormat="false" ht="15" hidden="false" customHeight="false" outlineLevel="0" collapsed="false">
      <c r="A62" s="0" t="s">
        <v>429</v>
      </c>
      <c r="B62" s="0" t="s">
        <v>225</v>
      </c>
      <c r="C62" s="0" t="s">
        <v>387</v>
      </c>
      <c r="D62" s="0" t="s">
        <v>352</v>
      </c>
      <c r="E62" s="15" t="n">
        <v>45799</v>
      </c>
      <c r="F62" s="15" t="n">
        <v>45828</v>
      </c>
      <c r="G62" s="0" t="n">
        <v>7.7</v>
      </c>
      <c r="H62" s="0" t="n">
        <v>5.2</v>
      </c>
      <c r="I62" s="16" t="s">
        <v>198</v>
      </c>
      <c r="J62" s="0" t="n">
        <v>-2.5</v>
      </c>
    </row>
    <row r="63" customFormat="false" ht="15" hidden="false" customHeight="false" outlineLevel="0" collapsed="false">
      <c r="A63" s="0" t="s">
        <v>430</v>
      </c>
      <c r="B63" s="0" t="s">
        <v>215</v>
      </c>
      <c r="C63" s="0" t="s">
        <v>374</v>
      </c>
      <c r="D63" s="0" t="s">
        <v>358</v>
      </c>
      <c r="E63" s="15" t="n">
        <v>45075</v>
      </c>
      <c r="F63" s="15" t="n">
        <v>45116</v>
      </c>
      <c r="G63" s="0" t="n">
        <v>47.7</v>
      </c>
      <c r="H63" s="0" t="n">
        <v>62.6</v>
      </c>
      <c r="I63" s="16" t="s">
        <v>198</v>
      </c>
      <c r="J63" s="0" t="n">
        <v>14.9</v>
      </c>
    </row>
    <row r="64" customFormat="false" ht="15" hidden="false" customHeight="false" outlineLevel="0" collapsed="false">
      <c r="A64" s="0" t="s">
        <v>431</v>
      </c>
      <c r="B64" s="0" t="s">
        <v>308</v>
      </c>
      <c r="C64" s="0" t="s">
        <v>360</v>
      </c>
      <c r="D64" s="0" t="s">
        <v>352</v>
      </c>
      <c r="E64" s="15" t="n">
        <v>45026</v>
      </c>
      <c r="F64" s="15" t="n">
        <v>45033</v>
      </c>
      <c r="G64" s="0" t="n">
        <v>63.9</v>
      </c>
      <c r="H64" s="0" t="n">
        <v>45.7</v>
      </c>
      <c r="I64" s="16" t="s">
        <v>198</v>
      </c>
      <c r="J64" s="0" t="n">
        <v>-18.2</v>
      </c>
    </row>
    <row r="65" customFormat="false" ht="15" hidden="false" customHeight="false" outlineLevel="0" collapsed="false">
      <c r="A65" s="0" t="s">
        <v>432</v>
      </c>
      <c r="B65" s="0" t="s">
        <v>303</v>
      </c>
      <c r="C65" s="0" t="s">
        <v>374</v>
      </c>
      <c r="D65" s="0" t="s">
        <v>367</v>
      </c>
      <c r="E65" s="15" t="n">
        <v>45136</v>
      </c>
      <c r="F65" s="15"/>
      <c r="G65" s="0" t="n">
        <v>34.3</v>
      </c>
      <c r="H65" s="0" t="n">
        <v>25.5</v>
      </c>
      <c r="I65" s="16" t="s">
        <v>364</v>
      </c>
      <c r="J65" s="0" t="n">
        <v>-8.8</v>
      </c>
    </row>
    <row r="66" customFormat="false" ht="15" hidden="false" customHeight="false" outlineLevel="0" collapsed="false">
      <c r="A66" s="0" t="s">
        <v>433</v>
      </c>
      <c r="B66" s="0" t="s">
        <v>223</v>
      </c>
      <c r="C66" s="0" t="s">
        <v>360</v>
      </c>
      <c r="D66" s="0" t="s">
        <v>367</v>
      </c>
      <c r="E66" s="15" t="n">
        <v>45185</v>
      </c>
      <c r="F66" s="15" t="n">
        <v>45228</v>
      </c>
      <c r="G66" s="0" t="n">
        <v>21.9</v>
      </c>
      <c r="H66" s="0" t="n">
        <v>34</v>
      </c>
      <c r="I66" s="16" t="s">
        <v>198</v>
      </c>
      <c r="J66" s="0" t="n">
        <v>12.1</v>
      </c>
    </row>
    <row r="67" customFormat="false" ht="15" hidden="false" customHeight="false" outlineLevel="0" collapsed="false">
      <c r="A67" s="0" t="s">
        <v>434</v>
      </c>
      <c r="B67" s="0" t="s">
        <v>215</v>
      </c>
      <c r="C67" s="0" t="s">
        <v>357</v>
      </c>
      <c r="D67" s="0" t="s">
        <v>358</v>
      </c>
      <c r="E67" s="15" t="n">
        <v>45066</v>
      </c>
      <c r="F67" s="15"/>
      <c r="G67" s="0" t="n">
        <v>9.3</v>
      </c>
      <c r="H67" s="0" t="n">
        <v>0.8</v>
      </c>
      <c r="I67" s="16" t="s">
        <v>364</v>
      </c>
      <c r="J67" s="0" t="n">
        <v>-8.5</v>
      </c>
    </row>
    <row r="68" customFormat="false" ht="15" hidden="false" customHeight="false" outlineLevel="0" collapsed="false">
      <c r="A68" s="0" t="s">
        <v>435</v>
      </c>
      <c r="B68" s="0" t="s">
        <v>231</v>
      </c>
      <c r="C68" s="0" t="s">
        <v>374</v>
      </c>
      <c r="D68" s="0" t="s">
        <v>358</v>
      </c>
      <c r="E68" s="15" t="n">
        <v>45739</v>
      </c>
      <c r="F68" s="15" t="n">
        <v>45775</v>
      </c>
      <c r="G68" s="0" t="n">
        <v>45.8</v>
      </c>
      <c r="H68" s="0" t="n">
        <v>58.2</v>
      </c>
      <c r="I68" s="16" t="s">
        <v>198</v>
      </c>
      <c r="J68" s="0" t="n">
        <v>12.4</v>
      </c>
    </row>
    <row r="69" customFormat="false" ht="15" hidden="false" customHeight="false" outlineLevel="0" collapsed="false">
      <c r="A69" s="0" t="s">
        <v>436</v>
      </c>
      <c r="B69" s="0" t="s">
        <v>203</v>
      </c>
      <c r="C69" s="0" t="s">
        <v>387</v>
      </c>
      <c r="D69" s="0" t="s">
        <v>352</v>
      </c>
      <c r="E69" s="15" t="n">
        <v>45609</v>
      </c>
      <c r="F69" s="15" t="n">
        <v>45628</v>
      </c>
      <c r="G69" s="0" t="n">
        <v>48.8</v>
      </c>
      <c r="H69" s="0" t="n">
        <v>46.4</v>
      </c>
      <c r="I69" s="16" t="s">
        <v>198</v>
      </c>
      <c r="J69" s="0" t="n">
        <v>-2.4</v>
      </c>
    </row>
    <row r="70" customFormat="false" ht="15" hidden="false" customHeight="false" outlineLevel="0" collapsed="false">
      <c r="A70" s="0" t="s">
        <v>437</v>
      </c>
      <c r="B70" s="0" t="s">
        <v>237</v>
      </c>
      <c r="C70" s="0" t="s">
        <v>408</v>
      </c>
      <c r="D70" s="0" t="s">
        <v>358</v>
      </c>
      <c r="E70" s="15" t="n">
        <v>45847</v>
      </c>
      <c r="F70" s="15" t="n">
        <v>45854</v>
      </c>
      <c r="G70" s="0" t="n">
        <v>29.3</v>
      </c>
      <c r="H70" s="0" t="n">
        <v>33.9</v>
      </c>
      <c r="I70" s="16" t="s">
        <v>198</v>
      </c>
      <c r="J70" s="0" t="n">
        <v>4.6</v>
      </c>
    </row>
    <row r="71" customFormat="false" ht="15" hidden="false" customHeight="false" outlineLevel="0" collapsed="false">
      <c r="A71" s="0" t="s">
        <v>438</v>
      </c>
      <c r="B71" s="0" t="s">
        <v>321</v>
      </c>
      <c r="C71" s="0" t="s">
        <v>382</v>
      </c>
      <c r="D71" s="0" t="s">
        <v>355</v>
      </c>
      <c r="E71" s="15" t="n">
        <v>45841</v>
      </c>
      <c r="F71" s="15"/>
      <c r="G71" s="0" t="n">
        <v>67.9</v>
      </c>
      <c r="H71" s="0" t="n">
        <v>59.6</v>
      </c>
      <c r="I71" s="16" t="s">
        <v>364</v>
      </c>
      <c r="J71" s="0" t="n">
        <v>-8.3</v>
      </c>
    </row>
    <row r="72" customFormat="false" ht="15" hidden="false" customHeight="false" outlineLevel="0" collapsed="false">
      <c r="A72" s="0" t="s">
        <v>439</v>
      </c>
      <c r="B72" s="0" t="s">
        <v>337</v>
      </c>
      <c r="C72" s="0" t="s">
        <v>357</v>
      </c>
      <c r="D72" s="0" t="s">
        <v>358</v>
      </c>
      <c r="E72" s="15" t="n">
        <v>45911</v>
      </c>
      <c r="F72" s="15"/>
      <c r="G72" s="0" t="n">
        <v>22.9</v>
      </c>
      <c r="H72" s="0" t="n">
        <v>3.7</v>
      </c>
      <c r="I72" s="16" t="s">
        <v>364</v>
      </c>
      <c r="J72" s="0" t="n">
        <v>-19.2</v>
      </c>
    </row>
    <row r="73" customFormat="false" ht="15" hidden="false" customHeight="false" outlineLevel="0" collapsed="false">
      <c r="A73" s="0" t="s">
        <v>440</v>
      </c>
      <c r="B73" s="0" t="s">
        <v>283</v>
      </c>
      <c r="C73" s="0" t="s">
        <v>354</v>
      </c>
      <c r="D73" s="0" t="s">
        <v>355</v>
      </c>
      <c r="E73" s="15" t="n">
        <v>45564</v>
      </c>
      <c r="F73" s="15" t="n">
        <v>45574</v>
      </c>
      <c r="G73" s="0" t="n">
        <v>46.2</v>
      </c>
      <c r="H73" s="0" t="n">
        <v>46.2</v>
      </c>
      <c r="I73" s="16" t="s">
        <v>198</v>
      </c>
      <c r="J73" s="0" t="n">
        <v>0</v>
      </c>
    </row>
    <row r="74" customFormat="false" ht="15" hidden="false" customHeight="false" outlineLevel="0" collapsed="false">
      <c r="A74" s="0" t="s">
        <v>441</v>
      </c>
      <c r="B74" s="0" t="s">
        <v>221</v>
      </c>
      <c r="C74" s="0" t="s">
        <v>442</v>
      </c>
      <c r="D74" s="0" t="s">
        <v>358</v>
      </c>
      <c r="E74" s="15" t="n">
        <v>44901</v>
      </c>
      <c r="F74" s="15" t="n">
        <v>44926</v>
      </c>
      <c r="G74" s="0" t="n">
        <v>34.7</v>
      </c>
      <c r="H74" s="0" t="n">
        <v>32.6</v>
      </c>
      <c r="I74" s="16" t="s">
        <v>198</v>
      </c>
      <c r="J74" s="0" t="n">
        <v>-2.1</v>
      </c>
    </row>
    <row r="75" customFormat="false" ht="15" hidden="false" customHeight="false" outlineLevel="0" collapsed="false">
      <c r="A75" s="0" t="s">
        <v>443</v>
      </c>
      <c r="B75" s="0" t="s">
        <v>279</v>
      </c>
      <c r="C75" s="0" t="s">
        <v>354</v>
      </c>
      <c r="D75" s="0" t="s">
        <v>352</v>
      </c>
      <c r="E75" s="15" t="n">
        <v>45694</v>
      </c>
      <c r="F75" s="15"/>
      <c r="G75" s="0" t="n">
        <v>48.5</v>
      </c>
      <c r="H75" s="0" t="n">
        <v>38.6</v>
      </c>
      <c r="I75" s="16" t="s">
        <v>364</v>
      </c>
      <c r="J75" s="0" t="n">
        <v>-9.9</v>
      </c>
    </row>
    <row r="76" customFormat="false" ht="15" hidden="false" customHeight="false" outlineLevel="0" collapsed="false">
      <c r="A76" s="0" t="s">
        <v>444</v>
      </c>
      <c r="B76" s="0" t="s">
        <v>296</v>
      </c>
      <c r="C76" s="0" t="s">
        <v>387</v>
      </c>
      <c r="D76" s="0" t="s">
        <v>367</v>
      </c>
      <c r="E76" s="15" t="n">
        <v>45644</v>
      </c>
      <c r="F76" s="15" t="n">
        <v>45662</v>
      </c>
      <c r="G76" s="0" t="n">
        <v>36.6</v>
      </c>
      <c r="H76" s="0" t="n">
        <v>37.5</v>
      </c>
      <c r="I76" s="16" t="s">
        <v>198</v>
      </c>
      <c r="J76" s="0" t="n">
        <v>0.9</v>
      </c>
    </row>
    <row r="77" customFormat="false" ht="15" hidden="false" customHeight="false" outlineLevel="0" collapsed="false">
      <c r="A77" s="0" t="s">
        <v>445</v>
      </c>
      <c r="B77" s="0" t="s">
        <v>231</v>
      </c>
      <c r="C77" s="0" t="s">
        <v>376</v>
      </c>
      <c r="D77" s="0" t="s">
        <v>367</v>
      </c>
      <c r="E77" s="15" t="n">
        <v>45407</v>
      </c>
      <c r="F77" s="15" t="n">
        <v>45440</v>
      </c>
      <c r="G77" s="0" t="n">
        <v>10.9</v>
      </c>
      <c r="H77" s="0" t="n">
        <v>11.2</v>
      </c>
      <c r="I77" s="16" t="s">
        <v>198</v>
      </c>
      <c r="J77" s="0" t="n">
        <v>0.3</v>
      </c>
    </row>
    <row r="78" customFormat="false" ht="15" hidden="false" customHeight="false" outlineLevel="0" collapsed="false">
      <c r="A78" s="0" t="s">
        <v>446</v>
      </c>
      <c r="B78" s="0" t="s">
        <v>323</v>
      </c>
      <c r="C78" s="0" t="s">
        <v>369</v>
      </c>
      <c r="D78" s="0" t="s">
        <v>352</v>
      </c>
      <c r="E78" s="15" t="n">
        <v>45297</v>
      </c>
      <c r="F78" s="15" t="n">
        <v>45312</v>
      </c>
      <c r="G78" s="0" t="n">
        <v>32.8</v>
      </c>
      <c r="H78" s="0" t="n">
        <v>39.3</v>
      </c>
      <c r="I78" s="16" t="s">
        <v>198</v>
      </c>
      <c r="J78" s="0" t="n">
        <v>6.5</v>
      </c>
    </row>
    <row r="79" customFormat="false" ht="15" hidden="false" customHeight="false" outlineLevel="0" collapsed="false">
      <c r="A79" s="0" t="s">
        <v>447</v>
      </c>
      <c r="B79" s="0" t="s">
        <v>274</v>
      </c>
      <c r="C79" s="0" t="s">
        <v>408</v>
      </c>
      <c r="D79" s="0" t="s">
        <v>355</v>
      </c>
      <c r="E79" s="15" t="n">
        <v>44765</v>
      </c>
      <c r="F79" s="15"/>
      <c r="G79" s="0" t="n">
        <v>61.6</v>
      </c>
      <c r="H79" s="0" t="n">
        <v>16</v>
      </c>
      <c r="I79" s="16" t="s">
        <v>364</v>
      </c>
      <c r="J79" s="0" t="n">
        <v>-45.6</v>
      </c>
    </row>
    <row r="80" customFormat="false" ht="15" hidden="false" customHeight="false" outlineLevel="0" collapsed="false">
      <c r="A80" s="0" t="s">
        <v>448</v>
      </c>
      <c r="B80" s="0" t="s">
        <v>316</v>
      </c>
      <c r="C80" s="0" t="s">
        <v>366</v>
      </c>
      <c r="D80" s="0" t="s">
        <v>358</v>
      </c>
      <c r="E80" s="15" t="n">
        <v>45644</v>
      </c>
      <c r="F80" s="15" t="n">
        <v>45653</v>
      </c>
      <c r="G80" s="0" t="n">
        <v>31.7</v>
      </c>
      <c r="H80" s="0" t="n">
        <v>41.3</v>
      </c>
      <c r="I80" s="16" t="s">
        <v>198</v>
      </c>
      <c r="J80" s="0" t="n">
        <v>9.6</v>
      </c>
    </row>
    <row r="81" customFormat="false" ht="15" hidden="false" customHeight="false" outlineLevel="0" collapsed="false">
      <c r="A81" s="0" t="s">
        <v>449</v>
      </c>
      <c r="B81" s="0" t="s">
        <v>217</v>
      </c>
      <c r="C81" s="0" t="s">
        <v>363</v>
      </c>
      <c r="D81" s="0" t="s">
        <v>355</v>
      </c>
      <c r="E81" s="15" t="n">
        <v>45521</v>
      </c>
      <c r="F81" s="15"/>
      <c r="G81" s="0" t="n">
        <v>5.3</v>
      </c>
      <c r="H81" s="0" t="n">
        <v>0.1</v>
      </c>
      <c r="I81" s="16" t="s">
        <v>364</v>
      </c>
      <c r="J81" s="0" t="n">
        <v>-5.2</v>
      </c>
    </row>
    <row r="82" customFormat="false" ht="15" hidden="false" customHeight="false" outlineLevel="0" collapsed="false">
      <c r="A82" s="0" t="s">
        <v>450</v>
      </c>
      <c r="B82" s="0" t="s">
        <v>221</v>
      </c>
      <c r="C82" s="0" t="s">
        <v>408</v>
      </c>
      <c r="D82" s="0" t="s">
        <v>367</v>
      </c>
      <c r="E82" s="15" t="n">
        <v>45579</v>
      </c>
      <c r="F82" s="15" t="n">
        <v>45605</v>
      </c>
      <c r="G82" s="0" t="n">
        <v>57.3</v>
      </c>
      <c r="H82" s="0" t="n">
        <v>58.3</v>
      </c>
      <c r="I82" s="16" t="s">
        <v>198</v>
      </c>
      <c r="J82" s="0" t="n">
        <v>1</v>
      </c>
    </row>
    <row r="83" customFormat="false" ht="15" hidden="false" customHeight="false" outlineLevel="0" collapsed="false">
      <c r="A83" s="0" t="s">
        <v>451</v>
      </c>
      <c r="B83" s="0" t="s">
        <v>200</v>
      </c>
      <c r="C83" s="0" t="s">
        <v>442</v>
      </c>
      <c r="D83" s="0" t="s">
        <v>355</v>
      </c>
      <c r="E83" s="15" t="n">
        <v>44845</v>
      </c>
      <c r="F83" s="15" t="n">
        <v>44885</v>
      </c>
      <c r="G83" s="0" t="n">
        <v>37.9</v>
      </c>
      <c r="H83" s="0" t="n">
        <v>48.9</v>
      </c>
      <c r="I83" s="16" t="s">
        <v>198</v>
      </c>
      <c r="J83" s="0" t="n">
        <v>11</v>
      </c>
    </row>
    <row r="84" customFormat="false" ht="15" hidden="false" customHeight="false" outlineLevel="0" collapsed="false">
      <c r="A84" s="0" t="s">
        <v>452</v>
      </c>
      <c r="B84" s="0" t="s">
        <v>303</v>
      </c>
      <c r="C84" s="0" t="s">
        <v>382</v>
      </c>
      <c r="D84" s="0" t="s">
        <v>358</v>
      </c>
      <c r="E84" s="15" t="n">
        <v>45048</v>
      </c>
      <c r="F84" s="15" t="n">
        <v>45086</v>
      </c>
      <c r="G84" s="0" t="n">
        <v>33.2</v>
      </c>
      <c r="H84" s="0" t="n">
        <v>22.5</v>
      </c>
      <c r="I84" s="16" t="s">
        <v>198</v>
      </c>
      <c r="J84" s="0" t="n">
        <v>-10.7</v>
      </c>
    </row>
    <row r="85" customFormat="false" ht="15" hidden="false" customHeight="false" outlineLevel="0" collapsed="false">
      <c r="A85" s="0" t="s">
        <v>453</v>
      </c>
      <c r="B85" s="0" t="s">
        <v>283</v>
      </c>
      <c r="C85" s="0" t="s">
        <v>366</v>
      </c>
      <c r="D85" s="0" t="s">
        <v>352</v>
      </c>
      <c r="E85" s="15" t="n">
        <v>45531</v>
      </c>
      <c r="F85" s="15" t="n">
        <v>45542</v>
      </c>
      <c r="G85" s="0" t="n">
        <v>8</v>
      </c>
      <c r="H85" s="0" t="n">
        <v>9.9</v>
      </c>
      <c r="I85" s="16" t="s">
        <v>198</v>
      </c>
      <c r="J85" s="0" t="n">
        <v>1.9</v>
      </c>
    </row>
    <row r="86" customFormat="false" ht="15" hidden="false" customHeight="false" outlineLevel="0" collapsed="false">
      <c r="A86" s="0" t="s">
        <v>454</v>
      </c>
      <c r="B86" s="0" t="s">
        <v>285</v>
      </c>
      <c r="C86" s="0" t="s">
        <v>354</v>
      </c>
      <c r="D86" s="0" t="s">
        <v>358</v>
      </c>
      <c r="E86" s="15" t="n">
        <v>45218</v>
      </c>
      <c r="F86" s="15" t="n">
        <v>45260</v>
      </c>
      <c r="G86" s="0" t="n">
        <v>65.6</v>
      </c>
      <c r="H86" s="0" t="n">
        <v>54.9</v>
      </c>
      <c r="I86" s="16" t="s">
        <v>198</v>
      </c>
      <c r="J86" s="0" t="n">
        <v>-10.7</v>
      </c>
    </row>
    <row r="87" customFormat="false" ht="15" hidden="false" customHeight="false" outlineLevel="0" collapsed="false">
      <c r="A87" s="0" t="s">
        <v>455</v>
      </c>
      <c r="B87" s="0" t="s">
        <v>249</v>
      </c>
      <c r="C87" s="0" t="s">
        <v>360</v>
      </c>
      <c r="D87" s="0" t="s">
        <v>367</v>
      </c>
      <c r="E87" s="15" t="n">
        <v>45061</v>
      </c>
      <c r="F87" s="15" t="n">
        <v>45103</v>
      </c>
      <c r="G87" s="0" t="n">
        <v>7.9</v>
      </c>
      <c r="H87" s="0" t="n">
        <v>12.3</v>
      </c>
      <c r="I87" s="16" t="s">
        <v>198</v>
      </c>
      <c r="J87" s="0" t="n">
        <v>4.4</v>
      </c>
    </row>
    <row r="88" customFormat="false" ht="15" hidden="false" customHeight="false" outlineLevel="0" collapsed="false">
      <c r="A88" s="0" t="s">
        <v>456</v>
      </c>
      <c r="B88" s="0" t="s">
        <v>310</v>
      </c>
      <c r="C88" s="0" t="s">
        <v>387</v>
      </c>
      <c r="D88" s="0" t="s">
        <v>358</v>
      </c>
      <c r="E88" s="15" t="n">
        <v>45567</v>
      </c>
      <c r="F88" s="15" t="n">
        <v>45605</v>
      </c>
      <c r="G88" s="0" t="n">
        <v>37</v>
      </c>
      <c r="H88" s="0" t="n">
        <v>56.4</v>
      </c>
      <c r="I88" s="16" t="s">
        <v>198</v>
      </c>
      <c r="J88" s="0" t="n">
        <v>19.4</v>
      </c>
    </row>
    <row r="89" customFormat="false" ht="15" hidden="false" customHeight="false" outlineLevel="0" collapsed="false">
      <c r="A89" s="0" t="s">
        <v>457</v>
      </c>
      <c r="B89" s="0" t="s">
        <v>221</v>
      </c>
      <c r="C89" s="0" t="s">
        <v>376</v>
      </c>
      <c r="D89" s="0" t="s">
        <v>355</v>
      </c>
      <c r="E89" s="15" t="n">
        <v>45470</v>
      </c>
      <c r="F89" s="15" t="n">
        <v>45501</v>
      </c>
      <c r="G89" s="0" t="n">
        <v>36.5</v>
      </c>
      <c r="H89" s="0" t="n">
        <v>33</v>
      </c>
      <c r="I89" s="16" t="s">
        <v>198</v>
      </c>
      <c r="J89" s="0" t="n">
        <v>-3.5</v>
      </c>
    </row>
    <row r="90" customFormat="false" ht="15" hidden="false" customHeight="false" outlineLevel="0" collapsed="false">
      <c r="A90" s="0" t="s">
        <v>458</v>
      </c>
      <c r="B90" s="0" t="s">
        <v>287</v>
      </c>
      <c r="C90" s="0" t="s">
        <v>382</v>
      </c>
      <c r="D90" s="0" t="s">
        <v>358</v>
      </c>
      <c r="E90" s="15" t="n">
        <v>45276</v>
      </c>
      <c r="F90" s="15" t="n">
        <v>45306</v>
      </c>
      <c r="G90" s="0" t="n">
        <v>37.2</v>
      </c>
      <c r="H90" s="0" t="n">
        <v>24.4</v>
      </c>
      <c r="I90" s="16" t="s">
        <v>198</v>
      </c>
      <c r="J90" s="0" t="n">
        <v>-12.8</v>
      </c>
    </row>
    <row r="91" customFormat="false" ht="15" hidden="false" customHeight="false" outlineLevel="0" collapsed="false">
      <c r="A91" s="0" t="s">
        <v>459</v>
      </c>
      <c r="B91" s="0" t="s">
        <v>217</v>
      </c>
      <c r="C91" s="0" t="s">
        <v>366</v>
      </c>
      <c r="D91" s="0" t="s">
        <v>367</v>
      </c>
      <c r="E91" s="15" t="n">
        <v>45585</v>
      </c>
      <c r="F91" s="15"/>
      <c r="G91" s="0" t="n">
        <v>68.7</v>
      </c>
      <c r="H91" s="0" t="n">
        <v>38</v>
      </c>
      <c r="I91" s="16" t="s">
        <v>364</v>
      </c>
      <c r="J91" s="0" t="n">
        <v>-30.7</v>
      </c>
    </row>
    <row r="92" customFormat="false" ht="15" hidden="false" customHeight="false" outlineLevel="0" collapsed="false">
      <c r="A92" s="0" t="s">
        <v>460</v>
      </c>
      <c r="B92" s="0" t="s">
        <v>310</v>
      </c>
      <c r="C92" s="0" t="s">
        <v>360</v>
      </c>
      <c r="D92" s="0" t="s">
        <v>352</v>
      </c>
      <c r="E92" s="15" t="n">
        <v>45522</v>
      </c>
      <c r="F92" s="15" t="n">
        <v>45525</v>
      </c>
      <c r="G92" s="0" t="n">
        <v>37.1</v>
      </c>
      <c r="H92" s="0" t="n">
        <v>52.3</v>
      </c>
      <c r="I92" s="16" t="s">
        <v>198</v>
      </c>
      <c r="J92" s="0" t="n">
        <v>15.2</v>
      </c>
    </row>
    <row r="93" customFormat="false" ht="15" hidden="false" customHeight="false" outlineLevel="0" collapsed="false">
      <c r="A93" s="0" t="s">
        <v>461</v>
      </c>
      <c r="B93" s="0" t="s">
        <v>279</v>
      </c>
      <c r="C93" s="0" t="s">
        <v>351</v>
      </c>
      <c r="D93" s="0" t="s">
        <v>358</v>
      </c>
      <c r="E93" s="15" t="n">
        <v>45650</v>
      </c>
      <c r="F93" s="15" t="n">
        <v>45660</v>
      </c>
      <c r="G93" s="0" t="n">
        <v>76.7</v>
      </c>
      <c r="H93" s="0" t="n">
        <v>80.6</v>
      </c>
      <c r="I93" s="16" t="s">
        <v>198</v>
      </c>
      <c r="J93" s="0" t="n">
        <v>3.9</v>
      </c>
    </row>
    <row r="94" customFormat="false" ht="15" hidden="false" customHeight="false" outlineLevel="0" collapsed="false">
      <c r="A94" s="0" t="s">
        <v>462</v>
      </c>
      <c r="B94" s="0" t="s">
        <v>219</v>
      </c>
      <c r="C94" s="0" t="s">
        <v>372</v>
      </c>
      <c r="D94" s="0" t="s">
        <v>352</v>
      </c>
      <c r="E94" s="15" t="n">
        <v>45334</v>
      </c>
      <c r="F94" s="15" t="n">
        <v>45337</v>
      </c>
      <c r="G94" s="0" t="n">
        <v>21.3</v>
      </c>
      <c r="H94" s="0" t="n">
        <v>22.1</v>
      </c>
      <c r="I94" s="16" t="s">
        <v>198</v>
      </c>
      <c r="J94" s="0" t="n">
        <v>0.8</v>
      </c>
    </row>
    <row r="95" customFormat="false" ht="15" hidden="false" customHeight="false" outlineLevel="0" collapsed="false">
      <c r="A95" s="0" t="s">
        <v>463</v>
      </c>
      <c r="B95" s="0" t="s">
        <v>289</v>
      </c>
      <c r="C95" s="0" t="s">
        <v>360</v>
      </c>
      <c r="D95" s="0" t="s">
        <v>355</v>
      </c>
      <c r="E95" s="15" t="n">
        <v>45441</v>
      </c>
      <c r="F95" s="15"/>
      <c r="G95" s="0" t="n">
        <v>32.2</v>
      </c>
      <c r="H95" s="0" t="n">
        <v>22.4</v>
      </c>
      <c r="I95" s="16" t="s">
        <v>364</v>
      </c>
      <c r="J95" s="0" t="n">
        <v>-9.8</v>
      </c>
    </row>
    <row r="96" customFormat="false" ht="15" hidden="false" customHeight="false" outlineLevel="0" collapsed="false">
      <c r="A96" s="0" t="s">
        <v>464</v>
      </c>
      <c r="B96" s="0" t="s">
        <v>281</v>
      </c>
      <c r="C96" s="0" t="s">
        <v>357</v>
      </c>
      <c r="D96" s="0" t="s">
        <v>352</v>
      </c>
      <c r="E96" s="15" t="n">
        <v>45484</v>
      </c>
      <c r="F96" s="15" t="n">
        <v>45520</v>
      </c>
      <c r="G96" s="0" t="n">
        <v>54.9</v>
      </c>
      <c r="H96" s="0" t="n">
        <v>48.5</v>
      </c>
      <c r="I96" s="16" t="s">
        <v>198</v>
      </c>
      <c r="J96" s="0" t="n">
        <v>-6.4</v>
      </c>
    </row>
    <row r="97" customFormat="false" ht="15" hidden="false" customHeight="false" outlineLevel="0" collapsed="false">
      <c r="A97" s="0" t="s">
        <v>465</v>
      </c>
      <c r="B97" s="0" t="s">
        <v>281</v>
      </c>
      <c r="C97" s="0" t="s">
        <v>360</v>
      </c>
      <c r="D97" s="0" t="s">
        <v>367</v>
      </c>
      <c r="E97" s="15" t="n">
        <v>45488</v>
      </c>
      <c r="F97" s="15" t="n">
        <v>45498</v>
      </c>
      <c r="G97" s="0" t="n">
        <v>73.5</v>
      </c>
      <c r="H97" s="0" t="n">
        <v>66.9</v>
      </c>
      <c r="I97" s="16" t="s">
        <v>198</v>
      </c>
      <c r="J97" s="0" t="n">
        <v>-6.6</v>
      </c>
    </row>
    <row r="98" customFormat="false" ht="15" hidden="false" customHeight="false" outlineLevel="0" collapsed="false">
      <c r="A98" s="0" t="s">
        <v>466</v>
      </c>
      <c r="B98" s="0" t="s">
        <v>231</v>
      </c>
      <c r="C98" s="0" t="s">
        <v>351</v>
      </c>
      <c r="D98" s="0" t="s">
        <v>358</v>
      </c>
      <c r="E98" s="15" t="n">
        <v>45749</v>
      </c>
      <c r="F98" s="15" t="n">
        <v>45755</v>
      </c>
      <c r="G98" s="0" t="n">
        <v>26.1</v>
      </c>
      <c r="H98" s="0" t="n">
        <v>25.5</v>
      </c>
      <c r="I98" s="16" t="s">
        <v>198</v>
      </c>
      <c r="J98" s="0" t="n">
        <v>-0.6</v>
      </c>
    </row>
    <row r="99" customFormat="false" ht="15" hidden="false" customHeight="false" outlineLevel="0" collapsed="false">
      <c r="A99" s="0" t="s">
        <v>467</v>
      </c>
      <c r="B99" s="0" t="s">
        <v>231</v>
      </c>
      <c r="C99" s="0" t="s">
        <v>360</v>
      </c>
      <c r="D99" s="0" t="s">
        <v>367</v>
      </c>
      <c r="E99" s="15" t="n">
        <v>45768</v>
      </c>
      <c r="F99" s="15" t="n">
        <v>45812</v>
      </c>
      <c r="G99" s="0" t="n">
        <v>73.2</v>
      </c>
      <c r="H99" s="0" t="n">
        <v>50.8</v>
      </c>
      <c r="I99" s="16" t="s">
        <v>198</v>
      </c>
      <c r="J99" s="0" t="n">
        <v>-22.4</v>
      </c>
    </row>
    <row r="100" customFormat="false" ht="15" hidden="false" customHeight="false" outlineLevel="0" collapsed="false">
      <c r="A100" s="0" t="s">
        <v>468</v>
      </c>
      <c r="B100" s="0" t="s">
        <v>219</v>
      </c>
      <c r="C100" s="0" t="s">
        <v>351</v>
      </c>
      <c r="D100" s="0" t="s">
        <v>367</v>
      </c>
      <c r="E100" s="15" t="n">
        <v>45225</v>
      </c>
      <c r="F100" s="15" t="n">
        <v>45245</v>
      </c>
      <c r="G100" s="0" t="n">
        <v>16.1</v>
      </c>
      <c r="H100" s="0" t="n">
        <v>13.1</v>
      </c>
      <c r="I100" s="16" t="s">
        <v>198</v>
      </c>
      <c r="J100" s="0" t="n">
        <v>-3</v>
      </c>
    </row>
    <row r="101" customFormat="false" ht="15" hidden="false" customHeight="false" outlineLevel="0" collapsed="false">
      <c r="A101" s="0" t="s">
        <v>469</v>
      </c>
      <c r="B101" s="0" t="s">
        <v>247</v>
      </c>
      <c r="C101" s="0" t="s">
        <v>351</v>
      </c>
      <c r="D101" s="0" t="s">
        <v>355</v>
      </c>
      <c r="E101" s="15" t="n">
        <v>45127</v>
      </c>
      <c r="F101" s="15"/>
      <c r="G101" s="0" t="n">
        <v>14.1</v>
      </c>
      <c r="H101" s="0" t="n">
        <v>3.8</v>
      </c>
      <c r="I101" s="16" t="s">
        <v>364</v>
      </c>
      <c r="J101" s="0" t="n">
        <v>-10.3</v>
      </c>
    </row>
    <row r="102" customFormat="false" ht="15" hidden="false" customHeight="false" outlineLevel="0" collapsed="false">
      <c r="A102" s="0" t="s">
        <v>470</v>
      </c>
      <c r="B102" s="0" t="s">
        <v>318</v>
      </c>
      <c r="C102" s="0" t="s">
        <v>351</v>
      </c>
      <c r="D102" s="0" t="s">
        <v>352</v>
      </c>
      <c r="E102" s="15" t="n">
        <v>45749</v>
      </c>
      <c r="F102" s="15" t="n">
        <v>45783</v>
      </c>
      <c r="G102" s="0" t="n">
        <v>4.9</v>
      </c>
      <c r="H102" s="0" t="n">
        <v>4.6</v>
      </c>
      <c r="I102" s="16" t="s">
        <v>198</v>
      </c>
      <c r="J102" s="0" t="n">
        <v>-0.3</v>
      </c>
    </row>
    <row r="103" customFormat="false" ht="15" hidden="false" customHeight="false" outlineLevel="0" collapsed="false">
      <c r="A103" s="0" t="s">
        <v>471</v>
      </c>
      <c r="B103" s="0" t="s">
        <v>285</v>
      </c>
      <c r="C103" s="0" t="s">
        <v>351</v>
      </c>
      <c r="D103" s="0" t="s">
        <v>352</v>
      </c>
      <c r="E103" s="15" t="n">
        <v>45035</v>
      </c>
      <c r="F103" s="15" t="n">
        <v>45047</v>
      </c>
      <c r="G103" s="0" t="n">
        <v>66.8</v>
      </c>
      <c r="H103" s="0" t="n">
        <v>91.6</v>
      </c>
      <c r="I103" s="16" t="s">
        <v>198</v>
      </c>
      <c r="J103" s="0" t="n">
        <v>24.8</v>
      </c>
    </row>
    <row r="104" customFormat="false" ht="15" hidden="false" customHeight="false" outlineLevel="0" collapsed="false">
      <c r="A104" s="0" t="s">
        <v>472</v>
      </c>
      <c r="B104" s="0" t="s">
        <v>305</v>
      </c>
      <c r="C104" s="0" t="s">
        <v>387</v>
      </c>
      <c r="D104" s="0" t="s">
        <v>358</v>
      </c>
      <c r="E104" s="15" t="n">
        <v>44614</v>
      </c>
      <c r="F104" s="15" t="n">
        <v>44658</v>
      </c>
      <c r="G104" s="0" t="n">
        <v>58.1</v>
      </c>
      <c r="H104" s="0" t="n">
        <v>91.2</v>
      </c>
      <c r="I104" s="16" t="s">
        <v>198</v>
      </c>
      <c r="J104" s="0" t="n">
        <v>33.1</v>
      </c>
    </row>
    <row r="105" customFormat="false" ht="15" hidden="false" customHeight="false" outlineLevel="0" collapsed="false">
      <c r="A105" s="0" t="s">
        <v>473</v>
      </c>
      <c r="B105" s="0" t="s">
        <v>200</v>
      </c>
      <c r="C105" s="0" t="s">
        <v>363</v>
      </c>
      <c r="D105" s="0" t="s">
        <v>352</v>
      </c>
      <c r="E105" s="15" t="n">
        <v>45145</v>
      </c>
      <c r="F105" s="15" t="n">
        <v>45165</v>
      </c>
      <c r="G105" s="0" t="n">
        <v>77.3</v>
      </c>
      <c r="H105" s="0" t="n">
        <v>107</v>
      </c>
      <c r="I105" s="16" t="s">
        <v>198</v>
      </c>
      <c r="J105" s="0" t="n">
        <v>29.7</v>
      </c>
    </row>
    <row r="106" customFormat="false" ht="15" hidden="false" customHeight="false" outlineLevel="0" collapsed="false">
      <c r="A106" s="0" t="s">
        <v>474</v>
      </c>
      <c r="B106" s="0" t="s">
        <v>291</v>
      </c>
      <c r="C106" s="0" t="s">
        <v>376</v>
      </c>
      <c r="D106" s="0" t="s">
        <v>367</v>
      </c>
      <c r="E106" s="15" t="n">
        <v>45586</v>
      </c>
      <c r="F106" s="15"/>
      <c r="G106" s="0" t="n">
        <v>78.8</v>
      </c>
      <c r="H106" s="0" t="n">
        <v>32.7</v>
      </c>
      <c r="I106" s="16" t="s">
        <v>364</v>
      </c>
      <c r="J106" s="0" t="n">
        <v>-46.1</v>
      </c>
    </row>
    <row r="107" customFormat="false" ht="15" hidden="false" customHeight="false" outlineLevel="0" collapsed="false">
      <c r="A107" s="0" t="s">
        <v>475</v>
      </c>
      <c r="B107" s="0" t="s">
        <v>318</v>
      </c>
      <c r="C107" s="0" t="s">
        <v>354</v>
      </c>
      <c r="D107" s="0" t="s">
        <v>358</v>
      </c>
      <c r="E107" s="15" t="n">
        <v>45687</v>
      </c>
      <c r="F107" s="15" t="n">
        <v>45698</v>
      </c>
      <c r="G107" s="0" t="n">
        <v>65.7</v>
      </c>
      <c r="H107" s="0" t="n">
        <v>92.1</v>
      </c>
      <c r="I107" s="16" t="s">
        <v>198</v>
      </c>
      <c r="J107" s="0" t="n">
        <v>26.4</v>
      </c>
    </row>
    <row r="108" customFormat="false" ht="15" hidden="false" customHeight="false" outlineLevel="0" collapsed="false">
      <c r="A108" s="0" t="s">
        <v>476</v>
      </c>
      <c r="B108" s="0" t="s">
        <v>210</v>
      </c>
      <c r="C108" s="0" t="s">
        <v>382</v>
      </c>
      <c r="D108" s="0" t="s">
        <v>355</v>
      </c>
      <c r="E108" s="15" t="n">
        <v>45836</v>
      </c>
      <c r="F108" s="15" t="n">
        <v>45860</v>
      </c>
      <c r="G108" s="0" t="n">
        <v>45.3</v>
      </c>
      <c r="H108" s="0" t="n">
        <v>31.8</v>
      </c>
      <c r="I108" s="16" t="s">
        <v>198</v>
      </c>
      <c r="J108" s="0" t="n">
        <v>-13.5</v>
      </c>
    </row>
    <row r="109" customFormat="false" ht="15" hidden="false" customHeight="false" outlineLevel="0" collapsed="false">
      <c r="A109" s="0" t="s">
        <v>477</v>
      </c>
      <c r="B109" s="0" t="s">
        <v>270</v>
      </c>
      <c r="C109" s="0" t="s">
        <v>354</v>
      </c>
      <c r="D109" s="0" t="s">
        <v>367</v>
      </c>
      <c r="E109" s="15" t="n">
        <v>44930</v>
      </c>
      <c r="F109" s="15"/>
      <c r="G109" s="0" t="n">
        <v>23.3</v>
      </c>
      <c r="H109" s="0" t="n">
        <v>19</v>
      </c>
      <c r="I109" s="16" t="s">
        <v>364</v>
      </c>
      <c r="J109" s="0" t="n">
        <v>-4.3</v>
      </c>
    </row>
    <row r="110" customFormat="false" ht="15" hidden="false" customHeight="false" outlineLevel="0" collapsed="false">
      <c r="A110" s="0" t="s">
        <v>478</v>
      </c>
      <c r="B110" s="0" t="s">
        <v>221</v>
      </c>
      <c r="C110" s="0" t="s">
        <v>374</v>
      </c>
      <c r="D110" s="0" t="s">
        <v>355</v>
      </c>
      <c r="E110" s="15" t="n">
        <v>44766</v>
      </c>
      <c r="F110" s="15"/>
      <c r="G110" s="0" t="n">
        <v>71</v>
      </c>
      <c r="H110" s="0" t="n">
        <v>59.5</v>
      </c>
      <c r="I110" s="16" t="s">
        <v>364</v>
      </c>
      <c r="J110" s="0" t="n">
        <v>-11.5</v>
      </c>
    </row>
    <row r="111" customFormat="false" ht="15" hidden="false" customHeight="false" outlineLevel="0" collapsed="false">
      <c r="A111" s="0" t="s">
        <v>479</v>
      </c>
      <c r="B111" s="0" t="s">
        <v>296</v>
      </c>
      <c r="C111" s="0" t="s">
        <v>369</v>
      </c>
      <c r="D111" s="0" t="s">
        <v>358</v>
      </c>
      <c r="E111" s="15" t="n">
        <v>45248</v>
      </c>
      <c r="F111" s="15" t="n">
        <v>45273</v>
      </c>
      <c r="G111" s="0" t="n">
        <v>79.6</v>
      </c>
      <c r="H111" s="0" t="n">
        <v>77.6</v>
      </c>
      <c r="I111" s="16" t="s">
        <v>198</v>
      </c>
      <c r="J111" s="0" t="n">
        <v>-2</v>
      </c>
    </row>
    <row r="112" customFormat="false" ht="15" hidden="false" customHeight="false" outlineLevel="0" collapsed="false">
      <c r="A112" s="0" t="s">
        <v>480</v>
      </c>
      <c r="B112" s="0" t="s">
        <v>223</v>
      </c>
      <c r="C112" s="0" t="s">
        <v>382</v>
      </c>
      <c r="D112" s="0" t="s">
        <v>367</v>
      </c>
      <c r="E112" s="15" t="n">
        <v>45287</v>
      </c>
      <c r="F112" s="15" t="n">
        <v>45297</v>
      </c>
      <c r="G112" s="0" t="n">
        <v>12.7</v>
      </c>
      <c r="H112" s="0" t="n">
        <v>11.3</v>
      </c>
      <c r="I112" s="16" t="s">
        <v>198</v>
      </c>
      <c r="J112" s="0" t="n">
        <v>-1.4</v>
      </c>
    </row>
    <row r="113" customFormat="false" ht="15" hidden="false" customHeight="false" outlineLevel="0" collapsed="false">
      <c r="A113" s="0" t="s">
        <v>481</v>
      </c>
      <c r="B113" s="0" t="s">
        <v>233</v>
      </c>
      <c r="C113" s="0" t="s">
        <v>369</v>
      </c>
      <c r="D113" s="0" t="s">
        <v>358</v>
      </c>
      <c r="E113" s="15" t="n">
        <v>44763</v>
      </c>
      <c r="F113" s="15" t="n">
        <v>44792</v>
      </c>
      <c r="G113" s="0" t="n">
        <v>50</v>
      </c>
      <c r="H113" s="0" t="n">
        <v>75.3</v>
      </c>
      <c r="I113" s="16" t="s">
        <v>198</v>
      </c>
      <c r="J113" s="0" t="n">
        <v>25.3</v>
      </c>
    </row>
    <row r="114" customFormat="false" ht="15" hidden="false" customHeight="false" outlineLevel="0" collapsed="false">
      <c r="A114" s="0" t="s">
        <v>482</v>
      </c>
      <c r="B114" s="0" t="s">
        <v>253</v>
      </c>
      <c r="C114" s="0" t="s">
        <v>376</v>
      </c>
      <c r="D114" s="0" t="s">
        <v>352</v>
      </c>
      <c r="E114" s="15" t="n">
        <v>45171</v>
      </c>
      <c r="F114" s="15" t="n">
        <v>45210</v>
      </c>
      <c r="G114" s="0" t="n">
        <v>43.2</v>
      </c>
      <c r="H114" s="0" t="n">
        <v>30.7</v>
      </c>
      <c r="I114" s="16" t="s">
        <v>198</v>
      </c>
      <c r="J114" s="0" t="n">
        <v>-12.5</v>
      </c>
    </row>
    <row r="115" customFormat="false" ht="15" hidden="false" customHeight="false" outlineLevel="0" collapsed="false">
      <c r="A115" s="0" t="s">
        <v>483</v>
      </c>
      <c r="B115" s="0" t="s">
        <v>274</v>
      </c>
      <c r="C115" s="0" t="s">
        <v>408</v>
      </c>
      <c r="D115" s="0" t="s">
        <v>355</v>
      </c>
      <c r="E115" s="15" t="n">
        <v>44742</v>
      </c>
      <c r="F115" s="15" t="n">
        <v>44769</v>
      </c>
      <c r="G115" s="0" t="n">
        <v>51.8</v>
      </c>
      <c r="H115" s="0" t="n">
        <v>63.3</v>
      </c>
      <c r="I115" s="16" t="s">
        <v>198</v>
      </c>
      <c r="J115" s="0" t="n">
        <v>11.5</v>
      </c>
    </row>
    <row r="116" customFormat="false" ht="15" hidden="false" customHeight="false" outlineLevel="0" collapsed="false">
      <c r="A116" s="0" t="s">
        <v>484</v>
      </c>
      <c r="B116" s="0" t="s">
        <v>316</v>
      </c>
      <c r="C116" s="0" t="s">
        <v>354</v>
      </c>
      <c r="D116" s="0" t="s">
        <v>358</v>
      </c>
      <c r="E116" s="15" t="n">
        <v>45605</v>
      </c>
      <c r="F116" s="15" t="n">
        <v>45646</v>
      </c>
      <c r="G116" s="0" t="n">
        <v>42.2</v>
      </c>
      <c r="H116" s="0" t="n">
        <v>35.5</v>
      </c>
      <c r="I116" s="16" t="s">
        <v>198</v>
      </c>
      <c r="J116" s="0" t="n">
        <v>-6.7</v>
      </c>
    </row>
    <row r="117" customFormat="false" ht="15" hidden="false" customHeight="false" outlineLevel="0" collapsed="false">
      <c r="A117" s="0" t="s">
        <v>485</v>
      </c>
      <c r="B117" s="0" t="s">
        <v>203</v>
      </c>
      <c r="C117" s="0" t="s">
        <v>360</v>
      </c>
      <c r="D117" s="0" t="s">
        <v>355</v>
      </c>
      <c r="E117" s="15" t="n">
        <v>45425</v>
      </c>
      <c r="F117" s="15" t="n">
        <v>45441</v>
      </c>
      <c r="G117" s="0" t="n">
        <v>46.5</v>
      </c>
      <c r="H117" s="0" t="n">
        <v>36.6</v>
      </c>
      <c r="I117" s="16" t="s">
        <v>198</v>
      </c>
      <c r="J117" s="0" t="n">
        <v>-9.9</v>
      </c>
    </row>
    <row r="118" customFormat="false" ht="15" hidden="false" customHeight="false" outlineLevel="0" collapsed="false">
      <c r="A118" s="0" t="s">
        <v>486</v>
      </c>
      <c r="B118" s="0" t="s">
        <v>323</v>
      </c>
      <c r="C118" s="0" t="s">
        <v>366</v>
      </c>
      <c r="D118" s="0" t="s">
        <v>355</v>
      </c>
      <c r="E118" s="15" t="n">
        <v>45219</v>
      </c>
      <c r="F118" s="15" t="n">
        <v>45253</v>
      </c>
      <c r="G118" s="0" t="n">
        <v>44.4</v>
      </c>
      <c r="H118" s="0" t="n">
        <v>61.6</v>
      </c>
      <c r="I118" s="16" t="s">
        <v>198</v>
      </c>
      <c r="J118" s="0" t="n">
        <v>17.2</v>
      </c>
    </row>
    <row r="119" customFormat="false" ht="15" hidden="false" customHeight="false" outlineLevel="0" collapsed="false">
      <c r="A119" s="0" t="s">
        <v>487</v>
      </c>
      <c r="B119" s="0" t="s">
        <v>194</v>
      </c>
      <c r="C119" s="0" t="s">
        <v>369</v>
      </c>
      <c r="D119" s="0" t="s">
        <v>358</v>
      </c>
      <c r="E119" s="15" t="n">
        <v>45784</v>
      </c>
      <c r="F119" s="15" t="n">
        <v>45809</v>
      </c>
      <c r="G119" s="0" t="n">
        <v>78.5</v>
      </c>
      <c r="H119" s="0" t="n">
        <v>67</v>
      </c>
      <c r="I119" s="16" t="s">
        <v>198</v>
      </c>
      <c r="J119" s="0" t="n">
        <v>-11.5</v>
      </c>
    </row>
    <row r="120" customFormat="false" ht="15" hidden="false" customHeight="false" outlineLevel="0" collapsed="false">
      <c r="A120" s="0" t="s">
        <v>488</v>
      </c>
      <c r="B120" s="0" t="s">
        <v>215</v>
      </c>
      <c r="C120" s="0" t="s">
        <v>357</v>
      </c>
      <c r="D120" s="0" t="s">
        <v>358</v>
      </c>
      <c r="E120" s="15" t="n">
        <v>45131</v>
      </c>
      <c r="F120" s="15" t="n">
        <v>45174</v>
      </c>
      <c r="G120" s="0" t="n">
        <v>51</v>
      </c>
      <c r="H120" s="0" t="n">
        <v>69.9</v>
      </c>
      <c r="I120" s="16" t="s">
        <v>198</v>
      </c>
      <c r="J120" s="0" t="n">
        <v>18.9</v>
      </c>
    </row>
    <row r="121" customFormat="false" ht="15" hidden="false" customHeight="false" outlineLevel="0" collapsed="false">
      <c r="A121" s="0" t="s">
        <v>489</v>
      </c>
      <c r="B121" s="0" t="s">
        <v>233</v>
      </c>
      <c r="C121" s="0" t="s">
        <v>351</v>
      </c>
      <c r="D121" s="0" t="s">
        <v>367</v>
      </c>
      <c r="E121" s="15" t="n">
        <v>44580</v>
      </c>
      <c r="F121" s="15" t="n">
        <v>44602</v>
      </c>
      <c r="G121" s="0" t="n">
        <v>65.5</v>
      </c>
      <c r="H121" s="0" t="n">
        <v>50.8</v>
      </c>
      <c r="I121" s="16" t="s">
        <v>198</v>
      </c>
      <c r="J121" s="0" t="n">
        <v>-14.7</v>
      </c>
    </row>
    <row r="122" customFormat="false" ht="15" hidden="false" customHeight="false" outlineLevel="0" collapsed="false">
      <c r="A122" s="0" t="s">
        <v>490</v>
      </c>
      <c r="B122" s="0" t="s">
        <v>313</v>
      </c>
      <c r="C122" s="0" t="s">
        <v>372</v>
      </c>
      <c r="D122" s="0" t="s">
        <v>355</v>
      </c>
      <c r="E122" s="15" t="n">
        <v>45434</v>
      </c>
      <c r="F122" s="15" t="n">
        <v>45443</v>
      </c>
      <c r="G122" s="0" t="n">
        <v>6.9</v>
      </c>
      <c r="H122" s="0" t="n">
        <v>9.5</v>
      </c>
      <c r="I122" s="16" t="s">
        <v>198</v>
      </c>
      <c r="J122" s="0" t="n">
        <v>2.6</v>
      </c>
    </row>
    <row r="123" customFormat="false" ht="15" hidden="false" customHeight="false" outlineLevel="0" collapsed="false">
      <c r="A123" s="0" t="s">
        <v>491</v>
      </c>
      <c r="B123" s="0" t="s">
        <v>272</v>
      </c>
      <c r="C123" s="0" t="s">
        <v>376</v>
      </c>
      <c r="D123" s="0" t="s">
        <v>367</v>
      </c>
      <c r="E123" s="15" t="n">
        <v>45094</v>
      </c>
      <c r="F123" s="15" t="n">
        <v>45107</v>
      </c>
      <c r="G123" s="0" t="n">
        <v>71.1</v>
      </c>
      <c r="H123" s="0" t="n">
        <v>65.1</v>
      </c>
      <c r="I123" s="16" t="s">
        <v>198</v>
      </c>
      <c r="J123" s="0" t="n">
        <v>-6</v>
      </c>
    </row>
    <row r="124" customFormat="false" ht="15" hidden="false" customHeight="false" outlineLevel="0" collapsed="false">
      <c r="A124" s="0" t="s">
        <v>492</v>
      </c>
      <c r="B124" s="0" t="s">
        <v>326</v>
      </c>
      <c r="C124" s="0" t="s">
        <v>351</v>
      </c>
      <c r="D124" s="0" t="s">
        <v>355</v>
      </c>
      <c r="E124" s="15" t="n">
        <v>45136</v>
      </c>
      <c r="F124" s="15" t="n">
        <v>45178</v>
      </c>
      <c r="G124" s="0" t="n">
        <v>16.9</v>
      </c>
      <c r="H124" s="0" t="n">
        <v>16.2</v>
      </c>
      <c r="I124" s="16" t="s">
        <v>198</v>
      </c>
      <c r="J124" s="0" t="n">
        <v>-0.7</v>
      </c>
    </row>
    <row r="125" customFormat="false" ht="15" hidden="false" customHeight="false" outlineLevel="0" collapsed="false">
      <c r="A125" s="0" t="s">
        <v>493</v>
      </c>
      <c r="B125" s="0" t="s">
        <v>281</v>
      </c>
      <c r="C125" s="0" t="s">
        <v>372</v>
      </c>
      <c r="D125" s="0" t="s">
        <v>367</v>
      </c>
      <c r="E125" s="15" t="n">
        <v>45537</v>
      </c>
      <c r="F125" s="15" t="n">
        <v>45561</v>
      </c>
      <c r="G125" s="0" t="n">
        <v>36.1</v>
      </c>
      <c r="H125" s="0" t="n">
        <v>36.1</v>
      </c>
      <c r="I125" s="16" t="s">
        <v>198</v>
      </c>
      <c r="J125" s="0" t="n">
        <v>0</v>
      </c>
    </row>
    <row r="126" customFormat="false" ht="15" hidden="false" customHeight="false" outlineLevel="0" collapsed="false">
      <c r="A126" s="0" t="s">
        <v>494</v>
      </c>
      <c r="B126" s="0" t="s">
        <v>283</v>
      </c>
      <c r="C126" s="0" t="s">
        <v>376</v>
      </c>
      <c r="D126" s="0" t="s">
        <v>355</v>
      </c>
      <c r="E126" s="15" t="n">
        <v>45522</v>
      </c>
      <c r="F126" s="15" t="n">
        <v>45554</v>
      </c>
      <c r="G126" s="0" t="n">
        <v>30.7</v>
      </c>
      <c r="H126" s="0" t="n">
        <v>42.9</v>
      </c>
      <c r="I126" s="16" t="s">
        <v>198</v>
      </c>
      <c r="J126" s="0" t="n">
        <v>12.2</v>
      </c>
    </row>
    <row r="127" customFormat="false" ht="15" hidden="false" customHeight="false" outlineLevel="0" collapsed="false">
      <c r="A127" s="0" t="s">
        <v>495</v>
      </c>
      <c r="B127" s="0" t="s">
        <v>203</v>
      </c>
      <c r="C127" s="0" t="s">
        <v>408</v>
      </c>
      <c r="D127" s="0" t="s">
        <v>358</v>
      </c>
      <c r="E127" s="15" t="n">
        <v>45445</v>
      </c>
      <c r="F127" s="15" t="n">
        <v>45457</v>
      </c>
      <c r="G127" s="0" t="n">
        <v>44.5</v>
      </c>
      <c r="H127" s="0" t="n">
        <v>41</v>
      </c>
      <c r="I127" s="16" t="s">
        <v>198</v>
      </c>
      <c r="J127" s="0" t="n">
        <v>-3.5</v>
      </c>
    </row>
    <row r="128" customFormat="false" ht="15" hidden="false" customHeight="false" outlineLevel="0" collapsed="false">
      <c r="A128" s="0" t="s">
        <v>496</v>
      </c>
      <c r="B128" s="0" t="s">
        <v>272</v>
      </c>
      <c r="C128" s="0" t="s">
        <v>372</v>
      </c>
      <c r="D128" s="0" t="s">
        <v>355</v>
      </c>
      <c r="E128" s="15" t="n">
        <v>45121</v>
      </c>
      <c r="F128" s="15" t="n">
        <v>45149</v>
      </c>
      <c r="G128" s="0" t="n">
        <v>15</v>
      </c>
      <c r="H128" s="0" t="n">
        <v>15.7</v>
      </c>
      <c r="I128" s="16" t="s">
        <v>198</v>
      </c>
      <c r="J128" s="0" t="n">
        <v>0.7</v>
      </c>
    </row>
    <row r="129" customFormat="false" ht="15" hidden="false" customHeight="false" outlineLevel="0" collapsed="false">
      <c r="A129" s="0" t="s">
        <v>497</v>
      </c>
      <c r="B129" s="0" t="s">
        <v>287</v>
      </c>
      <c r="C129" s="0" t="s">
        <v>369</v>
      </c>
      <c r="D129" s="0" t="s">
        <v>355</v>
      </c>
      <c r="E129" s="15" t="n">
        <v>45304</v>
      </c>
      <c r="F129" s="15"/>
      <c r="G129" s="0" t="n">
        <v>23.4</v>
      </c>
      <c r="H129" s="0" t="n">
        <v>20.6</v>
      </c>
      <c r="I129" s="16" t="s">
        <v>364</v>
      </c>
      <c r="J129" s="0" t="n">
        <v>-2.8</v>
      </c>
    </row>
    <row r="130" customFormat="false" ht="15" hidden="false" customHeight="false" outlineLevel="0" collapsed="false">
      <c r="A130" s="0" t="s">
        <v>498</v>
      </c>
      <c r="B130" s="0" t="s">
        <v>215</v>
      </c>
      <c r="C130" s="0" t="s">
        <v>382</v>
      </c>
      <c r="D130" s="0" t="s">
        <v>367</v>
      </c>
      <c r="E130" s="15" t="n">
        <v>44993</v>
      </c>
      <c r="F130" s="15" t="n">
        <v>45037</v>
      </c>
      <c r="G130" s="0" t="n">
        <v>14.5</v>
      </c>
      <c r="H130" s="0" t="n">
        <v>9.2</v>
      </c>
      <c r="I130" s="16" t="s">
        <v>198</v>
      </c>
      <c r="J130" s="0" t="n">
        <v>-5.3</v>
      </c>
    </row>
    <row r="131" customFormat="false" ht="15" hidden="false" customHeight="false" outlineLevel="0" collapsed="false">
      <c r="A131" s="0" t="s">
        <v>499</v>
      </c>
      <c r="B131" s="0" t="s">
        <v>205</v>
      </c>
      <c r="C131" s="0" t="s">
        <v>387</v>
      </c>
      <c r="D131" s="0" t="s">
        <v>355</v>
      </c>
      <c r="E131" s="15" t="n">
        <v>45370</v>
      </c>
      <c r="F131" s="15" t="n">
        <v>45412</v>
      </c>
      <c r="G131" s="0" t="n">
        <v>30.6</v>
      </c>
      <c r="H131" s="0" t="n">
        <v>30.1</v>
      </c>
      <c r="I131" s="16" t="s">
        <v>198</v>
      </c>
      <c r="J131" s="0" t="n">
        <v>-0.5</v>
      </c>
    </row>
    <row r="132" customFormat="false" ht="15" hidden="false" customHeight="false" outlineLevel="0" collapsed="false">
      <c r="A132" s="0" t="s">
        <v>500</v>
      </c>
      <c r="B132" s="0" t="s">
        <v>337</v>
      </c>
      <c r="C132" s="0" t="s">
        <v>387</v>
      </c>
      <c r="D132" s="0" t="s">
        <v>352</v>
      </c>
      <c r="E132" s="15" t="n">
        <v>45782</v>
      </c>
      <c r="F132" s="15" t="n">
        <v>45806</v>
      </c>
      <c r="G132" s="0" t="n">
        <v>31</v>
      </c>
      <c r="H132" s="0" t="n">
        <v>42.3</v>
      </c>
      <c r="I132" s="16" t="s">
        <v>198</v>
      </c>
      <c r="J132" s="0" t="n">
        <v>11.3</v>
      </c>
    </row>
    <row r="133" customFormat="false" ht="15" hidden="false" customHeight="false" outlineLevel="0" collapsed="false">
      <c r="A133" s="0" t="s">
        <v>501</v>
      </c>
      <c r="B133" s="0" t="s">
        <v>323</v>
      </c>
      <c r="C133" s="0" t="s">
        <v>369</v>
      </c>
      <c r="D133" s="0" t="s">
        <v>352</v>
      </c>
      <c r="E133" s="15" t="n">
        <v>45220</v>
      </c>
      <c r="F133" s="15" t="n">
        <v>45262</v>
      </c>
      <c r="G133" s="0" t="n">
        <v>23.7</v>
      </c>
      <c r="H133" s="0" t="n">
        <v>37</v>
      </c>
      <c r="I133" s="16" t="s">
        <v>198</v>
      </c>
      <c r="J133" s="0" t="n">
        <v>13.3</v>
      </c>
    </row>
    <row r="134" customFormat="false" ht="15" hidden="false" customHeight="false" outlineLevel="0" collapsed="false">
      <c r="A134" s="0" t="s">
        <v>502</v>
      </c>
      <c r="B134" s="0" t="s">
        <v>316</v>
      </c>
      <c r="C134" s="0" t="s">
        <v>357</v>
      </c>
      <c r="D134" s="0" t="s">
        <v>367</v>
      </c>
      <c r="E134" s="15" t="n">
        <v>45585</v>
      </c>
      <c r="F134" s="15" t="n">
        <v>45621</v>
      </c>
      <c r="G134" s="0" t="n">
        <v>11.2</v>
      </c>
      <c r="H134" s="0" t="n">
        <v>15.4</v>
      </c>
      <c r="I134" s="16" t="s">
        <v>198</v>
      </c>
      <c r="J134" s="0" t="n">
        <v>4.2</v>
      </c>
    </row>
    <row r="135" customFormat="false" ht="15" hidden="false" customHeight="false" outlineLevel="0" collapsed="false">
      <c r="A135" s="0" t="s">
        <v>503</v>
      </c>
      <c r="B135" s="0" t="s">
        <v>253</v>
      </c>
      <c r="C135" s="0" t="s">
        <v>408</v>
      </c>
      <c r="D135" s="0" t="s">
        <v>367</v>
      </c>
      <c r="E135" s="15" t="n">
        <v>45289</v>
      </c>
      <c r="F135" s="15" t="n">
        <v>45321</v>
      </c>
      <c r="G135" s="0" t="n">
        <v>17.6</v>
      </c>
      <c r="H135" s="0" t="n">
        <v>12.9</v>
      </c>
      <c r="I135" s="16" t="s">
        <v>198</v>
      </c>
      <c r="J135" s="0" t="n">
        <v>-4.7</v>
      </c>
    </row>
    <row r="136" customFormat="false" ht="15" hidden="false" customHeight="false" outlineLevel="0" collapsed="false">
      <c r="A136" s="0" t="s">
        <v>504</v>
      </c>
      <c r="B136" s="0" t="s">
        <v>243</v>
      </c>
      <c r="C136" s="0" t="s">
        <v>442</v>
      </c>
      <c r="D136" s="0" t="s">
        <v>358</v>
      </c>
      <c r="E136" s="15" t="n">
        <v>45123</v>
      </c>
      <c r="F136" s="15" t="n">
        <v>45129</v>
      </c>
      <c r="G136" s="0" t="n">
        <v>65.2</v>
      </c>
      <c r="H136" s="0" t="n">
        <v>102.2</v>
      </c>
      <c r="I136" s="16" t="s">
        <v>198</v>
      </c>
      <c r="J136" s="0" t="n">
        <v>37</v>
      </c>
    </row>
    <row r="137" customFormat="false" ht="15" hidden="false" customHeight="false" outlineLevel="0" collapsed="false">
      <c r="A137" s="0" t="s">
        <v>505</v>
      </c>
      <c r="B137" s="0" t="s">
        <v>215</v>
      </c>
      <c r="C137" s="0" t="s">
        <v>363</v>
      </c>
      <c r="D137" s="0" t="s">
        <v>352</v>
      </c>
      <c r="E137" s="15" t="n">
        <v>45183</v>
      </c>
      <c r="F137" s="15" t="n">
        <v>45203</v>
      </c>
      <c r="G137" s="0" t="n">
        <v>68.4</v>
      </c>
      <c r="H137" s="0" t="n">
        <v>89.7</v>
      </c>
      <c r="I137" s="16" t="s">
        <v>198</v>
      </c>
      <c r="J137" s="0" t="n">
        <v>21.3</v>
      </c>
    </row>
    <row r="138" customFormat="false" ht="15" hidden="false" customHeight="false" outlineLevel="0" collapsed="false">
      <c r="A138" s="0" t="s">
        <v>506</v>
      </c>
      <c r="B138" s="0" t="s">
        <v>289</v>
      </c>
      <c r="C138" s="0" t="s">
        <v>372</v>
      </c>
      <c r="D138" s="0" t="s">
        <v>355</v>
      </c>
      <c r="E138" s="15" t="n">
        <v>45476</v>
      </c>
      <c r="F138" s="15" t="n">
        <v>45489</v>
      </c>
      <c r="G138" s="0" t="n">
        <v>63.8</v>
      </c>
      <c r="H138" s="0" t="n">
        <v>53.4</v>
      </c>
      <c r="I138" s="16" t="s">
        <v>198</v>
      </c>
      <c r="J138" s="0" t="n">
        <v>-10.4</v>
      </c>
    </row>
    <row r="139" customFormat="false" ht="15" hidden="false" customHeight="false" outlineLevel="0" collapsed="false">
      <c r="A139" s="0" t="s">
        <v>507</v>
      </c>
      <c r="B139" s="0" t="s">
        <v>289</v>
      </c>
      <c r="C139" s="0" t="s">
        <v>387</v>
      </c>
      <c r="D139" s="0" t="s">
        <v>355</v>
      </c>
      <c r="E139" s="15" t="n">
        <v>45487</v>
      </c>
      <c r="F139" s="15" t="n">
        <v>45517</v>
      </c>
      <c r="G139" s="0" t="n">
        <v>64.7</v>
      </c>
      <c r="H139" s="0" t="n">
        <v>74.5</v>
      </c>
      <c r="I139" s="16" t="s">
        <v>198</v>
      </c>
      <c r="J139" s="0" t="n">
        <v>9.8</v>
      </c>
    </row>
    <row r="140" customFormat="false" ht="15" hidden="false" customHeight="false" outlineLevel="0" collapsed="false">
      <c r="A140" s="0" t="s">
        <v>508</v>
      </c>
      <c r="B140" s="0" t="s">
        <v>215</v>
      </c>
      <c r="C140" s="0" t="s">
        <v>382</v>
      </c>
      <c r="D140" s="0" t="s">
        <v>355</v>
      </c>
      <c r="E140" s="15" t="n">
        <v>45122</v>
      </c>
      <c r="F140" s="15" t="n">
        <v>45153</v>
      </c>
      <c r="G140" s="0" t="n">
        <v>43</v>
      </c>
      <c r="H140" s="0" t="n">
        <v>58.9</v>
      </c>
      <c r="I140" s="16" t="s">
        <v>198</v>
      </c>
      <c r="J140" s="0" t="n">
        <v>15.9</v>
      </c>
    </row>
    <row r="141" customFormat="false" ht="15" hidden="false" customHeight="false" outlineLevel="0" collapsed="false">
      <c r="A141" s="0" t="s">
        <v>509</v>
      </c>
      <c r="B141" s="0" t="s">
        <v>231</v>
      </c>
      <c r="C141" s="0" t="s">
        <v>354</v>
      </c>
      <c r="D141" s="0" t="s">
        <v>352</v>
      </c>
      <c r="E141" s="15" t="n">
        <v>45678</v>
      </c>
      <c r="F141" s="15" t="n">
        <v>45707</v>
      </c>
      <c r="G141" s="0" t="n">
        <v>38.3</v>
      </c>
      <c r="H141" s="0" t="n">
        <v>42.8</v>
      </c>
      <c r="I141" s="16" t="s">
        <v>198</v>
      </c>
      <c r="J141" s="0" t="n">
        <v>4.5</v>
      </c>
    </row>
    <row r="142" customFormat="false" ht="15" hidden="false" customHeight="false" outlineLevel="0" collapsed="false">
      <c r="A142" s="0" t="s">
        <v>510</v>
      </c>
      <c r="B142" s="0" t="s">
        <v>231</v>
      </c>
      <c r="C142" s="0" t="s">
        <v>376</v>
      </c>
      <c r="D142" s="0" t="s">
        <v>352</v>
      </c>
      <c r="E142" s="15" t="n">
        <v>45707</v>
      </c>
      <c r="F142" s="15" t="n">
        <v>45711</v>
      </c>
      <c r="G142" s="0" t="n">
        <v>66.8</v>
      </c>
      <c r="H142" s="0" t="n">
        <v>74.7</v>
      </c>
      <c r="I142" s="16" t="s">
        <v>198</v>
      </c>
      <c r="J142" s="0" t="n">
        <v>7.9</v>
      </c>
    </row>
    <row r="143" customFormat="false" ht="15" hidden="false" customHeight="false" outlineLevel="0" collapsed="false">
      <c r="A143" s="0" t="s">
        <v>511</v>
      </c>
      <c r="B143" s="0" t="s">
        <v>239</v>
      </c>
      <c r="C143" s="0" t="s">
        <v>366</v>
      </c>
      <c r="D143" s="0" t="s">
        <v>358</v>
      </c>
      <c r="E143" s="15" t="n">
        <v>45275</v>
      </c>
      <c r="F143" s="15"/>
      <c r="G143" s="0" t="n">
        <v>19.6</v>
      </c>
      <c r="H143" s="0" t="n">
        <v>16.7</v>
      </c>
      <c r="I143" s="16" t="s">
        <v>364</v>
      </c>
      <c r="J143" s="0" t="n">
        <v>-2.9</v>
      </c>
    </row>
    <row r="144" customFormat="false" ht="15" hidden="false" customHeight="false" outlineLevel="0" collapsed="false">
      <c r="A144" s="0" t="s">
        <v>512</v>
      </c>
      <c r="B144" s="0" t="s">
        <v>219</v>
      </c>
      <c r="C144" s="0" t="s">
        <v>387</v>
      </c>
      <c r="D144" s="0" t="s">
        <v>355</v>
      </c>
      <c r="E144" s="15" t="n">
        <v>45269</v>
      </c>
      <c r="F144" s="15" t="n">
        <v>45305</v>
      </c>
      <c r="G144" s="0" t="n">
        <v>23.4</v>
      </c>
      <c r="H144" s="0" t="n">
        <v>28.7</v>
      </c>
      <c r="I144" s="16" t="s">
        <v>198</v>
      </c>
      <c r="J144" s="0" t="n">
        <v>5.3</v>
      </c>
    </row>
    <row r="145" customFormat="false" ht="15" hidden="false" customHeight="false" outlineLevel="0" collapsed="false">
      <c r="A145" s="0" t="s">
        <v>513</v>
      </c>
      <c r="B145" s="0" t="s">
        <v>318</v>
      </c>
      <c r="C145" s="0" t="s">
        <v>357</v>
      </c>
      <c r="D145" s="0" t="s">
        <v>358</v>
      </c>
      <c r="E145" s="15" t="n">
        <v>45716</v>
      </c>
      <c r="F145" s="15" t="n">
        <v>45754</v>
      </c>
      <c r="G145" s="0" t="n">
        <v>14</v>
      </c>
      <c r="H145" s="0" t="n">
        <v>17.6</v>
      </c>
      <c r="I145" s="16" t="s">
        <v>198</v>
      </c>
      <c r="J145" s="0" t="n">
        <v>3.6</v>
      </c>
    </row>
    <row r="146" customFormat="false" ht="15" hidden="false" customHeight="false" outlineLevel="0" collapsed="false">
      <c r="A146" s="0" t="s">
        <v>514</v>
      </c>
      <c r="B146" s="0" t="s">
        <v>276</v>
      </c>
      <c r="C146" s="0" t="s">
        <v>360</v>
      </c>
      <c r="D146" s="0" t="s">
        <v>358</v>
      </c>
      <c r="E146" s="15" t="n">
        <v>44951</v>
      </c>
      <c r="F146" s="15"/>
      <c r="G146" s="0" t="n">
        <v>4.2</v>
      </c>
      <c r="H146" s="0" t="n">
        <v>0.2</v>
      </c>
      <c r="I146" s="16" t="s">
        <v>364</v>
      </c>
      <c r="J146" s="0" t="n">
        <v>-4</v>
      </c>
    </row>
    <row r="147" customFormat="false" ht="15" hidden="false" customHeight="false" outlineLevel="0" collapsed="false">
      <c r="A147" s="0" t="s">
        <v>515</v>
      </c>
      <c r="B147" s="0" t="s">
        <v>251</v>
      </c>
      <c r="C147" s="0" t="s">
        <v>360</v>
      </c>
      <c r="D147" s="0" t="s">
        <v>358</v>
      </c>
      <c r="E147" s="15" t="n">
        <v>45214</v>
      </c>
      <c r="F147" s="15" t="n">
        <v>45254</v>
      </c>
      <c r="G147" s="0" t="n">
        <v>51.8</v>
      </c>
      <c r="H147" s="0" t="n">
        <v>56.9</v>
      </c>
      <c r="I147" s="16" t="s">
        <v>198</v>
      </c>
      <c r="J147" s="0" t="n">
        <v>5.1</v>
      </c>
    </row>
    <row r="148" customFormat="false" ht="15" hidden="false" customHeight="false" outlineLevel="0" collapsed="false">
      <c r="A148" s="0" t="s">
        <v>516</v>
      </c>
      <c r="B148" s="0" t="s">
        <v>274</v>
      </c>
      <c r="C148" s="0" t="s">
        <v>357</v>
      </c>
      <c r="D148" s="0" t="s">
        <v>355</v>
      </c>
      <c r="E148" s="15" t="n">
        <v>44834</v>
      </c>
      <c r="F148" s="15" t="n">
        <v>44878</v>
      </c>
      <c r="G148" s="0" t="n">
        <v>33.7</v>
      </c>
      <c r="H148" s="0" t="n">
        <v>35.5</v>
      </c>
      <c r="I148" s="16" t="s">
        <v>198</v>
      </c>
      <c r="J148" s="0" t="n">
        <v>1.8</v>
      </c>
    </row>
    <row r="149" customFormat="false" ht="15" hidden="false" customHeight="false" outlineLevel="0" collapsed="false">
      <c r="A149" s="0" t="s">
        <v>517</v>
      </c>
      <c r="B149" s="0" t="s">
        <v>239</v>
      </c>
      <c r="C149" s="0" t="s">
        <v>442</v>
      </c>
      <c r="D149" s="0" t="s">
        <v>358</v>
      </c>
      <c r="E149" s="15" t="n">
        <v>45305</v>
      </c>
      <c r="F149" s="15" t="n">
        <v>45335</v>
      </c>
      <c r="G149" s="0" t="n">
        <v>17.9</v>
      </c>
      <c r="H149" s="0" t="n">
        <v>21.6</v>
      </c>
      <c r="I149" s="16" t="s">
        <v>198</v>
      </c>
      <c r="J149" s="0" t="n">
        <v>3.7</v>
      </c>
    </row>
    <row r="150" customFormat="false" ht="15" hidden="false" customHeight="false" outlineLevel="0" collapsed="false">
      <c r="A150" s="0" t="s">
        <v>518</v>
      </c>
      <c r="B150" s="0" t="s">
        <v>285</v>
      </c>
      <c r="C150" s="0" t="s">
        <v>396</v>
      </c>
      <c r="D150" s="0" t="s">
        <v>367</v>
      </c>
      <c r="E150" s="15" t="n">
        <v>45231</v>
      </c>
      <c r="F150" s="15" t="n">
        <v>45255</v>
      </c>
      <c r="G150" s="0" t="n">
        <v>42.2</v>
      </c>
      <c r="H150" s="0" t="n">
        <v>29.8</v>
      </c>
      <c r="I150" s="16" t="s">
        <v>198</v>
      </c>
      <c r="J150" s="0" t="n">
        <v>-12.4</v>
      </c>
    </row>
    <row r="151" customFormat="false" ht="15" hidden="false" customHeight="false" outlineLevel="0" collapsed="false">
      <c r="A151" s="0" t="s">
        <v>519</v>
      </c>
      <c r="B151" s="0" t="s">
        <v>229</v>
      </c>
      <c r="C151" s="0" t="s">
        <v>374</v>
      </c>
      <c r="D151" s="0" t="s">
        <v>367</v>
      </c>
      <c r="E151" s="15" t="n">
        <v>44948</v>
      </c>
      <c r="F151" s="15" t="n">
        <v>44958</v>
      </c>
      <c r="G151" s="0" t="n">
        <v>9.6</v>
      </c>
      <c r="H151" s="0" t="n">
        <v>8.5</v>
      </c>
      <c r="I151" s="16" t="s">
        <v>198</v>
      </c>
      <c r="J151" s="0" t="n">
        <v>-1.1</v>
      </c>
    </row>
    <row r="152" customFormat="false" ht="15" hidden="false" customHeight="false" outlineLevel="0" collapsed="false">
      <c r="A152" s="0" t="s">
        <v>520</v>
      </c>
      <c r="B152" s="0" t="s">
        <v>260</v>
      </c>
      <c r="C152" s="0" t="s">
        <v>396</v>
      </c>
      <c r="D152" s="0" t="s">
        <v>352</v>
      </c>
      <c r="E152" s="15" t="n">
        <v>45005</v>
      </c>
      <c r="F152" s="15"/>
      <c r="G152" s="0" t="n">
        <v>74.8</v>
      </c>
      <c r="H152" s="0" t="n">
        <v>48.5</v>
      </c>
      <c r="I152" s="16" t="s">
        <v>364</v>
      </c>
      <c r="J152" s="0" t="n">
        <v>-26.3</v>
      </c>
    </row>
    <row r="153" customFormat="false" ht="15" hidden="false" customHeight="false" outlineLevel="0" collapsed="false">
      <c r="A153" s="0" t="s">
        <v>521</v>
      </c>
      <c r="B153" s="0" t="s">
        <v>316</v>
      </c>
      <c r="C153" s="0" t="s">
        <v>374</v>
      </c>
      <c r="D153" s="0" t="s">
        <v>367</v>
      </c>
      <c r="E153" s="15" t="n">
        <v>45584</v>
      </c>
      <c r="F153" s="15" t="n">
        <v>45604</v>
      </c>
      <c r="G153" s="0" t="n">
        <v>40.8</v>
      </c>
      <c r="H153" s="0" t="n">
        <v>28.2</v>
      </c>
      <c r="I153" s="16" t="s">
        <v>198</v>
      </c>
      <c r="J153" s="0" t="n">
        <v>-12.6</v>
      </c>
    </row>
    <row r="154" customFormat="false" ht="15" hidden="false" customHeight="false" outlineLevel="0" collapsed="false">
      <c r="A154" s="0" t="s">
        <v>522</v>
      </c>
      <c r="B154" s="0" t="s">
        <v>197</v>
      </c>
      <c r="C154" s="0" t="s">
        <v>363</v>
      </c>
      <c r="D154" s="0" t="s">
        <v>367</v>
      </c>
      <c r="E154" s="15" t="n">
        <v>45797</v>
      </c>
      <c r="F154" s="15" t="n">
        <v>45801</v>
      </c>
      <c r="G154" s="0" t="n">
        <v>5.9</v>
      </c>
      <c r="H154" s="0" t="n">
        <v>6.5</v>
      </c>
      <c r="I154" s="16" t="s">
        <v>198</v>
      </c>
      <c r="J154" s="0" t="n">
        <v>0.6</v>
      </c>
    </row>
    <row r="155" customFormat="false" ht="15" hidden="false" customHeight="false" outlineLevel="0" collapsed="false">
      <c r="A155" s="0" t="s">
        <v>523</v>
      </c>
      <c r="B155" s="0" t="s">
        <v>270</v>
      </c>
      <c r="C155" s="0" t="s">
        <v>357</v>
      </c>
      <c r="D155" s="0" t="s">
        <v>358</v>
      </c>
      <c r="E155" s="15" t="n">
        <v>45046</v>
      </c>
      <c r="F155" s="15" t="n">
        <v>45053</v>
      </c>
      <c r="G155" s="0" t="n">
        <v>35.6</v>
      </c>
      <c r="H155" s="0" t="n">
        <v>52.8</v>
      </c>
      <c r="I155" s="16" t="s">
        <v>198</v>
      </c>
      <c r="J155" s="0" t="n">
        <v>17.2</v>
      </c>
    </row>
    <row r="156" customFormat="false" ht="15" hidden="false" customHeight="false" outlineLevel="0" collapsed="false">
      <c r="A156" s="0" t="s">
        <v>524</v>
      </c>
      <c r="B156" s="0" t="s">
        <v>215</v>
      </c>
      <c r="C156" s="0" t="s">
        <v>366</v>
      </c>
      <c r="D156" s="0" t="s">
        <v>358</v>
      </c>
      <c r="E156" s="15" t="n">
        <v>44993</v>
      </c>
      <c r="F156" s="15" t="n">
        <v>44997</v>
      </c>
      <c r="G156" s="0" t="n">
        <v>46.5</v>
      </c>
      <c r="H156" s="0" t="n">
        <v>37</v>
      </c>
      <c r="I156" s="16" t="s">
        <v>198</v>
      </c>
      <c r="J156" s="0" t="n">
        <v>-9.5</v>
      </c>
    </row>
    <row r="157" customFormat="false" ht="15" hidden="false" customHeight="false" outlineLevel="0" collapsed="false">
      <c r="A157" s="0" t="s">
        <v>525</v>
      </c>
      <c r="B157" s="0" t="s">
        <v>217</v>
      </c>
      <c r="C157" s="0" t="s">
        <v>360</v>
      </c>
      <c r="D157" s="0" t="s">
        <v>355</v>
      </c>
      <c r="E157" s="15" t="n">
        <v>45518</v>
      </c>
      <c r="F157" s="15" t="n">
        <v>45554</v>
      </c>
      <c r="G157" s="0" t="n">
        <v>23.8</v>
      </c>
      <c r="H157" s="0" t="n">
        <v>37.8</v>
      </c>
      <c r="I157" s="16" t="s">
        <v>198</v>
      </c>
      <c r="J157" s="0" t="n">
        <v>14</v>
      </c>
    </row>
    <row r="158" customFormat="false" ht="15" hidden="false" customHeight="false" outlineLevel="0" collapsed="false">
      <c r="A158" s="0" t="s">
        <v>526</v>
      </c>
      <c r="B158" s="0" t="s">
        <v>231</v>
      </c>
      <c r="C158" s="0" t="s">
        <v>354</v>
      </c>
      <c r="D158" s="0" t="s">
        <v>352</v>
      </c>
      <c r="E158" s="15" t="n">
        <v>45621</v>
      </c>
      <c r="F158" s="15" t="n">
        <v>45643</v>
      </c>
      <c r="G158" s="0" t="n">
        <v>45.5</v>
      </c>
      <c r="H158" s="0" t="n">
        <v>43.9</v>
      </c>
      <c r="I158" s="16" t="s">
        <v>198</v>
      </c>
      <c r="J158" s="0" t="n">
        <v>-1.6</v>
      </c>
    </row>
    <row r="159" customFormat="false" ht="15" hidden="false" customHeight="false" outlineLevel="0" collapsed="false">
      <c r="A159" s="0" t="s">
        <v>527</v>
      </c>
      <c r="B159" s="0" t="s">
        <v>337</v>
      </c>
      <c r="C159" s="0" t="s">
        <v>442</v>
      </c>
      <c r="D159" s="0" t="s">
        <v>367</v>
      </c>
      <c r="E159" s="15" t="n">
        <v>45873</v>
      </c>
      <c r="F159" s="15" t="n">
        <v>45876</v>
      </c>
      <c r="G159" s="0" t="n">
        <v>5.5</v>
      </c>
      <c r="H159" s="0" t="n">
        <v>4.1</v>
      </c>
      <c r="I159" s="16" t="s">
        <v>198</v>
      </c>
      <c r="J159" s="0" t="n">
        <v>-1.4</v>
      </c>
    </row>
    <row r="160" customFormat="false" ht="15" hidden="false" customHeight="false" outlineLevel="0" collapsed="false">
      <c r="A160" s="0" t="s">
        <v>528</v>
      </c>
      <c r="B160" s="0" t="s">
        <v>321</v>
      </c>
      <c r="C160" s="0" t="s">
        <v>442</v>
      </c>
      <c r="D160" s="0" t="s">
        <v>352</v>
      </c>
      <c r="E160" s="15" t="n">
        <v>45690</v>
      </c>
      <c r="F160" s="15" t="n">
        <v>45723</v>
      </c>
      <c r="G160" s="0" t="n">
        <v>12.9</v>
      </c>
      <c r="H160" s="0" t="n">
        <v>19.8</v>
      </c>
      <c r="I160" s="16" t="s">
        <v>198</v>
      </c>
      <c r="J160" s="0" t="n">
        <v>6.9</v>
      </c>
    </row>
    <row r="161" customFormat="false" ht="15" hidden="false" customHeight="false" outlineLevel="0" collapsed="false">
      <c r="A161" s="0" t="s">
        <v>529</v>
      </c>
      <c r="B161" s="0" t="s">
        <v>296</v>
      </c>
      <c r="C161" s="0" t="s">
        <v>366</v>
      </c>
      <c r="D161" s="0" t="s">
        <v>367</v>
      </c>
      <c r="E161" s="15" t="n">
        <v>45277</v>
      </c>
      <c r="F161" s="15" t="n">
        <v>45297</v>
      </c>
      <c r="G161" s="0" t="n">
        <v>48.3</v>
      </c>
      <c r="H161" s="0" t="n">
        <v>53.5</v>
      </c>
      <c r="I161" s="16" t="s">
        <v>198</v>
      </c>
      <c r="J161" s="0" t="n">
        <v>5.2</v>
      </c>
    </row>
    <row r="162" customFormat="false" ht="15" hidden="false" customHeight="false" outlineLevel="0" collapsed="false">
      <c r="A162" s="0" t="s">
        <v>530</v>
      </c>
      <c r="B162" s="0" t="s">
        <v>276</v>
      </c>
      <c r="C162" s="0" t="s">
        <v>374</v>
      </c>
      <c r="D162" s="0" t="s">
        <v>358</v>
      </c>
      <c r="E162" s="15" t="n">
        <v>45017</v>
      </c>
      <c r="F162" s="15" t="n">
        <v>45019</v>
      </c>
      <c r="G162" s="0" t="n">
        <v>30.7</v>
      </c>
      <c r="H162" s="0" t="n">
        <v>39.1</v>
      </c>
      <c r="I162" s="16" t="s">
        <v>198</v>
      </c>
      <c r="J162" s="0" t="n">
        <v>8.4</v>
      </c>
    </row>
    <row r="163" customFormat="false" ht="15" hidden="false" customHeight="false" outlineLevel="0" collapsed="false">
      <c r="A163" s="0" t="s">
        <v>531</v>
      </c>
      <c r="B163" s="0" t="s">
        <v>203</v>
      </c>
      <c r="C163" s="0" t="s">
        <v>387</v>
      </c>
      <c r="D163" s="0" t="s">
        <v>352</v>
      </c>
      <c r="E163" s="15" t="n">
        <v>45198</v>
      </c>
      <c r="F163" s="15" t="n">
        <v>45240</v>
      </c>
      <c r="G163" s="0" t="n">
        <v>63.1</v>
      </c>
      <c r="H163" s="0" t="n">
        <v>86.8</v>
      </c>
      <c r="I163" s="16" t="s">
        <v>198</v>
      </c>
      <c r="J163" s="0" t="n">
        <v>23.7</v>
      </c>
    </row>
    <row r="164" customFormat="false" ht="15" hidden="false" customHeight="false" outlineLevel="0" collapsed="false">
      <c r="A164" s="0" t="s">
        <v>532</v>
      </c>
      <c r="B164" s="0" t="s">
        <v>210</v>
      </c>
      <c r="C164" s="0" t="s">
        <v>382</v>
      </c>
      <c r="D164" s="0" t="s">
        <v>367</v>
      </c>
      <c r="E164" s="15" t="n">
        <v>45821</v>
      </c>
      <c r="F164" s="15" t="n">
        <v>45855</v>
      </c>
      <c r="G164" s="0" t="n">
        <v>51.1</v>
      </c>
      <c r="H164" s="0" t="n">
        <v>62.3</v>
      </c>
      <c r="I164" s="16" t="s">
        <v>198</v>
      </c>
      <c r="J164" s="0" t="n">
        <v>11.2</v>
      </c>
    </row>
    <row r="165" customFormat="false" ht="15" hidden="false" customHeight="false" outlineLevel="0" collapsed="false">
      <c r="A165" s="0" t="s">
        <v>533</v>
      </c>
      <c r="B165" s="0" t="s">
        <v>235</v>
      </c>
      <c r="C165" s="0" t="s">
        <v>369</v>
      </c>
      <c r="D165" s="0" t="s">
        <v>367</v>
      </c>
      <c r="E165" s="15" t="n">
        <v>45865</v>
      </c>
      <c r="F165" s="15" t="n">
        <v>45902</v>
      </c>
      <c r="G165" s="0" t="n">
        <v>76</v>
      </c>
      <c r="H165" s="0" t="n">
        <v>54</v>
      </c>
      <c r="I165" s="16" t="s">
        <v>198</v>
      </c>
      <c r="J165" s="0" t="n">
        <v>-22</v>
      </c>
    </row>
    <row r="166" customFormat="false" ht="15" hidden="false" customHeight="false" outlineLevel="0" collapsed="false">
      <c r="A166" s="0" t="s">
        <v>534</v>
      </c>
      <c r="B166" s="0" t="s">
        <v>221</v>
      </c>
      <c r="C166" s="0" t="s">
        <v>387</v>
      </c>
      <c r="D166" s="0" t="s">
        <v>367</v>
      </c>
      <c r="E166" s="15" t="n">
        <v>45539</v>
      </c>
      <c r="F166" s="15" t="n">
        <v>45584</v>
      </c>
      <c r="G166" s="0" t="n">
        <v>17.9</v>
      </c>
      <c r="H166" s="0" t="n">
        <v>19.7</v>
      </c>
      <c r="I166" s="16" t="s">
        <v>198</v>
      </c>
      <c r="J166" s="0" t="n">
        <v>1.8</v>
      </c>
    </row>
    <row r="167" customFormat="false" ht="15" hidden="false" customHeight="false" outlineLevel="0" collapsed="false">
      <c r="A167" s="0" t="s">
        <v>535</v>
      </c>
      <c r="B167" s="0" t="s">
        <v>213</v>
      </c>
      <c r="C167" s="0" t="s">
        <v>372</v>
      </c>
      <c r="D167" s="0" t="s">
        <v>367</v>
      </c>
      <c r="E167" s="15" t="n">
        <v>45064</v>
      </c>
      <c r="F167" s="15" t="n">
        <v>45078</v>
      </c>
      <c r="G167" s="0" t="n">
        <v>45.7</v>
      </c>
      <c r="H167" s="0" t="n">
        <v>73</v>
      </c>
      <c r="I167" s="16" t="s">
        <v>198</v>
      </c>
      <c r="J167" s="0" t="n">
        <v>27.3</v>
      </c>
    </row>
    <row r="168" customFormat="false" ht="15" hidden="false" customHeight="false" outlineLevel="0" collapsed="false">
      <c r="A168" s="0" t="s">
        <v>536</v>
      </c>
      <c r="B168" s="0" t="s">
        <v>221</v>
      </c>
      <c r="C168" s="0" t="s">
        <v>351</v>
      </c>
      <c r="D168" s="0" t="s">
        <v>358</v>
      </c>
      <c r="E168" s="15" t="n">
        <v>45476</v>
      </c>
      <c r="F168" s="15" t="n">
        <v>45511</v>
      </c>
      <c r="G168" s="0" t="n">
        <v>28.7</v>
      </c>
      <c r="H168" s="0" t="n">
        <v>27.4</v>
      </c>
      <c r="I168" s="16" t="s">
        <v>198</v>
      </c>
      <c r="J168" s="0" t="n">
        <v>-1.3</v>
      </c>
    </row>
    <row r="169" customFormat="false" ht="15" hidden="false" customHeight="false" outlineLevel="0" collapsed="false">
      <c r="A169" s="0" t="s">
        <v>537</v>
      </c>
      <c r="B169" s="0" t="s">
        <v>339</v>
      </c>
      <c r="C169" s="0" t="s">
        <v>376</v>
      </c>
      <c r="D169" s="0" t="s">
        <v>358</v>
      </c>
      <c r="E169" s="15" t="n">
        <v>45193</v>
      </c>
      <c r="F169" s="15" t="n">
        <v>45209</v>
      </c>
      <c r="G169" s="0" t="n">
        <v>23.8</v>
      </c>
      <c r="H169" s="0" t="n">
        <v>21.4</v>
      </c>
      <c r="I169" s="16" t="s">
        <v>198</v>
      </c>
      <c r="J169" s="0" t="n">
        <v>-2.4</v>
      </c>
    </row>
    <row r="170" customFormat="false" ht="15" hidden="false" customHeight="false" outlineLevel="0" collapsed="false">
      <c r="A170" s="0" t="s">
        <v>538</v>
      </c>
      <c r="B170" s="0" t="s">
        <v>251</v>
      </c>
      <c r="C170" s="0" t="s">
        <v>363</v>
      </c>
      <c r="D170" s="0" t="s">
        <v>358</v>
      </c>
      <c r="E170" s="15" t="n">
        <v>45194</v>
      </c>
      <c r="F170" s="15" t="n">
        <v>45215</v>
      </c>
      <c r="G170" s="0" t="n">
        <v>39.4</v>
      </c>
      <c r="H170" s="0" t="n">
        <v>45.7</v>
      </c>
      <c r="I170" s="16" t="s">
        <v>198</v>
      </c>
      <c r="J170" s="0" t="n">
        <v>6.3</v>
      </c>
    </row>
    <row r="171" customFormat="false" ht="15" hidden="false" customHeight="false" outlineLevel="0" collapsed="false">
      <c r="A171" s="0" t="s">
        <v>539</v>
      </c>
      <c r="B171" s="0" t="s">
        <v>270</v>
      </c>
      <c r="C171" s="0" t="s">
        <v>382</v>
      </c>
      <c r="D171" s="0" t="s">
        <v>358</v>
      </c>
      <c r="E171" s="15" t="n">
        <v>44940</v>
      </c>
      <c r="F171" s="15" t="n">
        <v>44975</v>
      </c>
      <c r="G171" s="0" t="n">
        <v>31.6</v>
      </c>
      <c r="H171" s="0" t="n">
        <v>49.9</v>
      </c>
      <c r="I171" s="16" t="s">
        <v>198</v>
      </c>
      <c r="J171" s="0" t="n">
        <v>18.3</v>
      </c>
    </row>
    <row r="172" customFormat="false" ht="15" hidden="false" customHeight="false" outlineLevel="0" collapsed="false">
      <c r="A172" s="0" t="s">
        <v>540</v>
      </c>
      <c r="B172" s="0" t="s">
        <v>235</v>
      </c>
      <c r="C172" s="0" t="s">
        <v>376</v>
      </c>
      <c r="D172" s="0" t="s">
        <v>367</v>
      </c>
      <c r="E172" s="15" t="n">
        <v>45765</v>
      </c>
      <c r="F172" s="15" t="n">
        <v>45771</v>
      </c>
      <c r="G172" s="0" t="n">
        <v>29</v>
      </c>
      <c r="H172" s="0" t="n">
        <v>30.2</v>
      </c>
      <c r="I172" s="16" t="s">
        <v>198</v>
      </c>
      <c r="J172" s="0" t="n">
        <v>1.2</v>
      </c>
    </row>
    <row r="173" customFormat="false" ht="15" hidden="false" customHeight="false" outlineLevel="0" collapsed="false">
      <c r="A173" s="0" t="s">
        <v>541</v>
      </c>
      <c r="B173" s="0" t="s">
        <v>253</v>
      </c>
      <c r="C173" s="0" t="s">
        <v>376</v>
      </c>
      <c r="D173" s="0" t="s">
        <v>352</v>
      </c>
      <c r="E173" s="15" t="n">
        <v>45184</v>
      </c>
      <c r="F173" s="15"/>
      <c r="G173" s="0" t="n">
        <v>23.1</v>
      </c>
      <c r="H173" s="0" t="n">
        <v>11.7</v>
      </c>
      <c r="I173" s="16" t="s">
        <v>364</v>
      </c>
      <c r="J173" s="0" t="n">
        <v>-11.4</v>
      </c>
    </row>
    <row r="174" customFormat="false" ht="15" hidden="false" customHeight="false" outlineLevel="0" collapsed="false">
      <c r="A174" s="0" t="s">
        <v>542</v>
      </c>
      <c r="B174" s="0" t="s">
        <v>225</v>
      </c>
      <c r="C174" s="0" t="s">
        <v>366</v>
      </c>
      <c r="D174" s="0" t="s">
        <v>352</v>
      </c>
      <c r="E174" s="15" t="n">
        <v>45831</v>
      </c>
      <c r="F174" s="15" t="n">
        <v>45847</v>
      </c>
      <c r="G174" s="0" t="n">
        <v>20.9</v>
      </c>
      <c r="H174" s="0" t="n">
        <v>26.5</v>
      </c>
      <c r="I174" s="16" t="s">
        <v>198</v>
      </c>
      <c r="J174" s="0" t="n">
        <v>5.6</v>
      </c>
    </row>
    <row r="175" customFormat="false" ht="15" hidden="false" customHeight="false" outlineLevel="0" collapsed="false">
      <c r="A175" s="0" t="s">
        <v>543</v>
      </c>
      <c r="B175" s="0" t="s">
        <v>257</v>
      </c>
      <c r="C175" s="0" t="s">
        <v>351</v>
      </c>
      <c r="D175" s="0" t="s">
        <v>352</v>
      </c>
      <c r="E175" s="15" t="n">
        <v>44797</v>
      </c>
      <c r="F175" s="15" t="n">
        <v>44819</v>
      </c>
      <c r="G175" s="0" t="n">
        <v>58</v>
      </c>
      <c r="H175" s="0" t="n">
        <v>40.6</v>
      </c>
      <c r="I175" s="16" t="s">
        <v>198</v>
      </c>
      <c r="J175" s="0" t="n">
        <v>-17.4</v>
      </c>
    </row>
    <row r="176" customFormat="false" ht="15" hidden="false" customHeight="false" outlineLevel="0" collapsed="false">
      <c r="A176" s="0" t="s">
        <v>544</v>
      </c>
      <c r="B176" s="0" t="s">
        <v>194</v>
      </c>
      <c r="C176" s="0" t="s">
        <v>363</v>
      </c>
      <c r="D176" s="0" t="s">
        <v>367</v>
      </c>
      <c r="E176" s="15" t="n">
        <v>45396</v>
      </c>
      <c r="F176" s="15"/>
      <c r="G176" s="0" t="n">
        <v>14.3</v>
      </c>
      <c r="H176" s="0" t="n">
        <v>8.4</v>
      </c>
      <c r="I176" s="16" t="s">
        <v>364</v>
      </c>
      <c r="J176" s="0" t="n">
        <v>-5.9</v>
      </c>
    </row>
    <row r="177" customFormat="false" ht="15" hidden="false" customHeight="false" outlineLevel="0" collapsed="false">
      <c r="A177" s="0" t="s">
        <v>545</v>
      </c>
      <c r="B177" s="0" t="s">
        <v>313</v>
      </c>
      <c r="C177" s="0" t="s">
        <v>363</v>
      </c>
      <c r="D177" s="0" t="s">
        <v>355</v>
      </c>
      <c r="E177" s="15" t="n">
        <v>45439</v>
      </c>
      <c r="F177" s="15" t="n">
        <v>45458</v>
      </c>
      <c r="G177" s="0" t="n">
        <v>27.1</v>
      </c>
      <c r="H177" s="0" t="n">
        <v>33.8</v>
      </c>
      <c r="I177" s="16" t="s">
        <v>198</v>
      </c>
      <c r="J177" s="0" t="n">
        <v>6.7</v>
      </c>
    </row>
    <row r="178" customFormat="false" ht="15" hidden="false" customHeight="false" outlineLevel="0" collapsed="false">
      <c r="A178" s="0" t="s">
        <v>546</v>
      </c>
      <c r="B178" s="0" t="s">
        <v>321</v>
      </c>
      <c r="C178" s="0" t="s">
        <v>363</v>
      </c>
      <c r="D178" s="0" t="s">
        <v>352</v>
      </c>
      <c r="E178" s="15" t="n">
        <v>45843</v>
      </c>
      <c r="F178" s="15" t="n">
        <v>45846</v>
      </c>
      <c r="G178" s="0" t="n">
        <v>73.2</v>
      </c>
      <c r="H178" s="0" t="n">
        <v>56.7</v>
      </c>
      <c r="I178" s="16" t="s">
        <v>198</v>
      </c>
      <c r="J178" s="0" t="n">
        <v>-16.5</v>
      </c>
    </row>
    <row r="179" customFormat="false" ht="15" hidden="false" customHeight="false" outlineLevel="0" collapsed="false">
      <c r="A179" s="0" t="s">
        <v>547</v>
      </c>
      <c r="B179" s="0" t="s">
        <v>205</v>
      </c>
      <c r="C179" s="0" t="s">
        <v>382</v>
      </c>
      <c r="D179" s="0" t="s">
        <v>358</v>
      </c>
      <c r="E179" s="15" t="n">
        <v>45439</v>
      </c>
      <c r="F179" s="15"/>
      <c r="G179" s="0" t="n">
        <v>16.5</v>
      </c>
      <c r="H179" s="0" t="n">
        <v>11.1</v>
      </c>
      <c r="I179" s="16" t="s">
        <v>364</v>
      </c>
      <c r="J179" s="0" t="n">
        <v>-5.4</v>
      </c>
    </row>
    <row r="180" customFormat="false" ht="15" hidden="false" customHeight="false" outlineLevel="0" collapsed="false">
      <c r="A180" s="0" t="s">
        <v>548</v>
      </c>
      <c r="B180" s="0" t="s">
        <v>205</v>
      </c>
      <c r="C180" s="0" t="s">
        <v>376</v>
      </c>
      <c r="D180" s="0" t="s">
        <v>367</v>
      </c>
      <c r="E180" s="15" t="n">
        <v>45340</v>
      </c>
      <c r="F180" s="15" t="n">
        <v>45379</v>
      </c>
      <c r="G180" s="0" t="n">
        <v>10.4</v>
      </c>
      <c r="H180" s="0" t="n">
        <v>16.5</v>
      </c>
      <c r="I180" s="16" t="s">
        <v>198</v>
      </c>
      <c r="J180" s="0" t="n">
        <v>6.1</v>
      </c>
    </row>
    <row r="181" customFormat="false" ht="15" hidden="false" customHeight="false" outlineLevel="0" collapsed="false">
      <c r="A181" s="0" t="s">
        <v>549</v>
      </c>
      <c r="B181" s="0" t="s">
        <v>326</v>
      </c>
      <c r="C181" s="0" t="s">
        <v>396</v>
      </c>
      <c r="D181" s="0" t="s">
        <v>355</v>
      </c>
      <c r="E181" s="15" t="n">
        <v>45149</v>
      </c>
      <c r="F181" s="15" t="n">
        <v>45158</v>
      </c>
      <c r="G181" s="0" t="n">
        <v>68.4</v>
      </c>
      <c r="H181" s="0" t="n">
        <v>73.1</v>
      </c>
      <c r="I181" s="16" t="s">
        <v>198</v>
      </c>
      <c r="J181" s="0" t="n">
        <v>4.7</v>
      </c>
    </row>
    <row r="182" customFormat="false" ht="15" hidden="false" customHeight="false" outlineLevel="0" collapsed="false">
      <c r="A182" s="0" t="s">
        <v>550</v>
      </c>
      <c r="B182" s="0" t="s">
        <v>281</v>
      </c>
      <c r="C182" s="0" t="s">
        <v>357</v>
      </c>
      <c r="D182" s="0" t="s">
        <v>358</v>
      </c>
      <c r="E182" s="15" t="n">
        <v>45509</v>
      </c>
      <c r="F182" s="15" t="n">
        <v>45551</v>
      </c>
      <c r="G182" s="0" t="n">
        <v>22.1</v>
      </c>
      <c r="H182" s="0" t="n">
        <v>17.4</v>
      </c>
      <c r="I182" s="16" t="s">
        <v>198</v>
      </c>
      <c r="J182" s="0" t="n">
        <v>-4.7</v>
      </c>
    </row>
    <row r="183" customFormat="false" ht="15" hidden="false" customHeight="false" outlineLevel="0" collapsed="false">
      <c r="A183" s="0" t="s">
        <v>551</v>
      </c>
      <c r="B183" s="0" t="s">
        <v>272</v>
      </c>
      <c r="C183" s="0" t="s">
        <v>363</v>
      </c>
      <c r="D183" s="0" t="s">
        <v>367</v>
      </c>
      <c r="E183" s="15" t="n">
        <v>45188</v>
      </c>
      <c r="F183" s="15" t="n">
        <v>45201</v>
      </c>
      <c r="G183" s="0" t="n">
        <v>15.7</v>
      </c>
      <c r="H183" s="0" t="n">
        <v>22.9</v>
      </c>
      <c r="I183" s="16" t="s">
        <v>198</v>
      </c>
      <c r="J183" s="0" t="n">
        <v>7.2</v>
      </c>
    </row>
    <row r="184" customFormat="false" ht="15" hidden="false" customHeight="false" outlineLevel="0" collapsed="false">
      <c r="A184" s="0" t="s">
        <v>552</v>
      </c>
      <c r="B184" s="0" t="s">
        <v>203</v>
      </c>
      <c r="C184" s="0" t="s">
        <v>354</v>
      </c>
      <c r="D184" s="0" t="s">
        <v>367</v>
      </c>
      <c r="E184" s="15" t="n">
        <v>45556</v>
      </c>
      <c r="F184" s="15" t="n">
        <v>45582</v>
      </c>
      <c r="G184" s="0" t="n">
        <v>54.2</v>
      </c>
      <c r="H184" s="0" t="n">
        <v>42.5</v>
      </c>
      <c r="I184" s="16" t="s">
        <v>198</v>
      </c>
      <c r="J184" s="0" t="n">
        <v>-11.7</v>
      </c>
    </row>
    <row r="185" customFormat="false" ht="15" hidden="false" customHeight="false" outlineLevel="0" collapsed="false">
      <c r="A185" s="0" t="s">
        <v>553</v>
      </c>
      <c r="B185" s="0" t="s">
        <v>279</v>
      </c>
      <c r="C185" s="0" t="s">
        <v>442</v>
      </c>
      <c r="D185" s="0" t="s">
        <v>358</v>
      </c>
      <c r="E185" s="15" t="n">
        <v>45559</v>
      </c>
      <c r="F185" s="15" t="n">
        <v>45584</v>
      </c>
      <c r="G185" s="0" t="n">
        <v>20.4</v>
      </c>
      <c r="H185" s="0" t="n">
        <v>27.6</v>
      </c>
      <c r="I185" s="16" t="s">
        <v>198</v>
      </c>
      <c r="J185" s="0" t="n">
        <v>7.2</v>
      </c>
    </row>
    <row r="186" customFormat="false" ht="15" hidden="false" customHeight="false" outlineLevel="0" collapsed="false">
      <c r="A186" s="0" t="s">
        <v>554</v>
      </c>
      <c r="B186" s="0" t="s">
        <v>333</v>
      </c>
      <c r="C186" s="0" t="s">
        <v>369</v>
      </c>
      <c r="D186" s="0" t="s">
        <v>355</v>
      </c>
      <c r="E186" s="15" t="n">
        <v>45840</v>
      </c>
      <c r="F186" s="15" t="n">
        <v>45857</v>
      </c>
      <c r="G186" s="0" t="n">
        <v>53</v>
      </c>
      <c r="H186" s="0" t="n">
        <v>68.5</v>
      </c>
      <c r="I186" s="16" t="s">
        <v>198</v>
      </c>
      <c r="J186" s="0" t="n">
        <v>15.5</v>
      </c>
    </row>
    <row r="187" customFormat="false" ht="15" hidden="false" customHeight="false" outlineLevel="0" collapsed="false">
      <c r="A187" s="0" t="s">
        <v>555</v>
      </c>
      <c r="B187" s="0" t="s">
        <v>310</v>
      </c>
      <c r="C187" s="0" t="s">
        <v>357</v>
      </c>
      <c r="D187" s="0" t="s">
        <v>358</v>
      </c>
      <c r="E187" s="15" t="n">
        <v>45452</v>
      </c>
      <c r="F187" s="15" t="n">
        <v>45496</v>
      </c>
      <c r="G187" s="0" t="n">
        <v>41.2</v>
      </c>
      <c r="H187" s="0" t="n">
        <v>61.6</v>
      </c>
      <c r="I187" s="16" t="s">
        <v>198</v>
      </c>
      <c r="J187" s="0" t="n">
        <v>20.4</v>
      </c>
    </row>
    <row r="188" customFormat="false" ht="15" hidden="false" customHeight="false" outlineLevel="0" collapsed="false">
      <c r="A188" s="0" t="s">
        <v>556</v>
      </c>
      <c r="B188" s="0" t="s">
        <v>229</v>
      </c>
      <c r="C188" s="0" t="s">
        <v>396</v>
      </c>
      <c r="D188" s="0" t="s">
        <v>352</v>
      </c>
      <c r="E188" s="15" t="n">
        <v>45043</v>
      </c>
      <c r="F188" s="15"/>
      <c r="G188" s="0" t="n">
        <v>25</v>
      </c>
      <c r="H188" s="0" t="n">
        <v>13.8</v>
      </c>
      <c r="I188" s="16" t="s">
        <v>364</v>
      </c>
      <c r="J188" s="0" t="n">
        <v>-11.2</v>
      </c>
    </row>
    <row r="189" customFormat="false" ht="15" hidden="false" customHeight="false" outlineLevel="0" collapsed="false">
      <c r="A189" s="0" t="s">
        <v>557</v>
      </c>
      <c r="B189" s="0" t="s">
        <v>313</v>
      </c>
      <c r="C189" s="0" t="s">
        <v>363</v>
      </c>
      <c r="D189" s="0" t="s">
        <v>367</v>
      </c>
      <c r="E189" s="15" t="n">
        <v>45312</v>
      </c>
      <c r="F189" s="15" t="n">
        <v>45351</v>
      </c>
      <c r="G189" s="0" t="n">
        <v>31.1</v>
      </c>
      <c r="H189" s="0" t="n">
        <v>40.5</v>
      </c>
      <c r="I189" s="16" t="s">
        <v>198</v>
      </c>
      <c r="J189" s="0" t="n">
        <v>9.4</v>
      </c>
    </row>
    <row r="190" customFormat="false" ht="15" hidden="false" customHeight="false" outlineLevel="0" collapsed="false">
      <c r="A190" s="0" t="s">
        <v>558</v>
      </c>
      <c r="B190" s="0" t="s">
        <v>200</v>
      </c>
      <c r="C190" s="0" t="s">
        <v>387</v>
      </c>
      <c r="D190" s="0" t="s">
        <v>355</v>
      </c>
      <c r="E190" s="15" t="n">
        <v>45224</v>
      </c>
      <c r="F190" s="15"/>
      <c r="G190" s="0" t="n">
        <v>61.4</v>
      </c>
      <c r="H190" s="0" t="n">
        <v>37.6</v>
      </c>
      <c r="I190" s="16" t="s">
        <v>364</v>
      </c>
      <c r="J190" s="0" t="n">
        <v>-23.8</v>
      </c>
    </row>
    <row r="191" customFormat="false" ht="15" hidden="false" customHeight="false" outlineLevel="0" collapsed="false">
      <c r="A191" s="0" t="s">
        <v>559</v>
      </c>
      <c r="B191" s="0" t="s">
        <v>323</v>
      </c>
      <c r="C191" s="0" t="s">
        <v>369</v>
      </c>
      <c r="D191" s="0" t="s">
        <v>352</v>
      </c>
      <c r="E191" s="15" t="n">
        <v>45241</v>
      </c>
      <c r="F191" s="15" t="n">
        <v>45265</v>
      </c>
      <c r="G191" s="0" t="n">
        <v>8.1</v>
      </c>
      <c r="H191" s="0" t="n">
        <v>9.4</v>
      </c>
      <c r="I191" s="16" t="s">
        <v>198</v>
      </c>
      <c r="J191" s="0" t="n">
        <v>1.3</v>
      </c>
    </row>
    <row r="192" customFormat="false" ht="15" hidden="false" customHeight="false" outlineLevel="0" collapsed="false">
      <c r="A192" s="0" t="s">
        <v>560</v>
      </c>
      <c r="B192" s="0" t="s">
        <v>321</v>
      </c>
      <c r="C192" s="0" t="s">
        <v>360</v>
      </c>
      <c r="D192" s="0" t="s">
        <v>352</v>
      </c>
      <c r="E192" s="15" t="n">
        <v>45921</v>
      </c>
      <c r="F192" s="15" t="n">
        <v>45942</v>
      </c>
      <c r="G192" s="0" t="n">
        <v>68.6</v>
      </c>
      <c r="H192" s="0" t="n">
        <v>71.5</v>
      </c>
      <c r="I192" s="16" t="s">
        <v>198</v>
      </c>
      <c r="J192" s="0" t="n">
        <v>2.9</v>
      </c>
    </row>
    <row r="193" customFormat="false" ht="15" hidden="false" customHeight="false" outlineLevel="0" collapsed="false">
      <c r="A193" s="0" t="s">
        <v>561</v>
      </c>
      <c r="B193" s="0" t="s">
        <v>333</v>
      </c>
      <c r="C193" s="0" t="s">
        <v>354</v>
      </c>
      <c r="D193" s="0" t="s">
        <v>367</v>
      </c>
      <c r="E193" s="15" t="n">
        <v>45780</v>
      </c>
      <c r="F193" s="15" t="n">
        <v>45813</v>
      </c>
      <c r="G193" s="0" t="n">
        <v>36.7</v>
      </c>
      <c r="H193" s="0" t="n">
        <v>24.1</v>
      </c>
      <c r="I193" s="16" t="s">
        <v>198</v>
      </c>
      <c r="J193" s="0" t="n">
        <v>-12.6</v>
      </c>
    </row>
    <row r="194" customFormat="false" ht="15" hidden="false" customHeight="false" outlineLevel="0" collapsed="false">
      <c r="A194" s="0" t="s">
        <v>562</v>
      </c>
      <c r="B194" s="0" t="s">
        <v>308</v>
      </c>
      <c r="C194" s="0" t="s">
        <v>369</v>
      </c>
      <c r="D194" s="0" t="s">
        <v>367</v>
      </c>
      <c r="E194" s="15" t="n">
        <v>45041</v>
      </c>
      <c r="F194" s="15" t="n">
        <v>45071</v>
      </c>
      <c r="G194" s="0" t="n">
        <v>54.5</v>
      </c>
      <c r="H194" s="0" t="n">
        <v>49.5</v>
      </c>
      <c r="I194" s="16" t="s">
        <v>198</v>
      </c>
      <c r="J194" s="0" t="n">
        <v>-5</v>
      </c>
    </row>
    <row r="195" customFormat="false" ht="15" hidden="false" customHeight="false" outlineLevel="0" collapsed="false">
      <c r="A195" s="0" t="s">
        <v>563</v>
      </c>
      <c r="B195" s="0" t="s">
        <v>262</v>
      </c>
      <c r="C195" s="0" t="s">
        <v>357</v>
      </c>
      <c r="D195" s="0" t="s">
        <v>355</v>
      </c>
      <c r="E195" s="15" t="n">
        <v>45177</v>
      </c>
      <c r="F195" s="15" t="n">
        <v>45215</v>
      </c>
      <c r="G195" s="0" t="n">
        <v>7.7</v>
      </c>
      <c r="H195" s="0" t="n">
        <v>7.9</v>
      </c>
      <c r="I195" s="16" t="s">
        <v>198</v>
      </c>
      <c r="J195" s="0" t="n">
        <v>0.2</v>
      </c>
    </row>
    <row r="196" customFormat="false" ht="15" hidden="false" customHeight="false" outlineLevel="0" collapsed="false">
      <c r="A196" s="0" t="s">
        <v>564</v>
      </c>
      <c r="B196" s="0" t="s">
        <v>326</v>
      </c>
      <c r="C196" s="0" t="s">
        <v>369</v>
      </c>
      <c r="D196" s="0" t="s">
        <v>358</v>
      </c>
      <c r="E196" s="15" t="n">
        <v>45030</v>
      </c>
      <c r="F196" s="15"/>
      <c r="G196" s="0" t="n">
        <v>7.4</v>
      </c>
      <c r="H196" s="0" t="n">
        <v>6.2</v>
      </c>
      <c r="I196" s="16" t="s">
        <v>364</v>
      </c>
      <c r="J196" s="0" t="n">
        <v>-1.2</v>
      </c>
    </row>
    <row r="197" customFormat="false" ht="15" hidden="false" customHeight="false" outlineLevel="0" collapsed="false">
      <c r="A197" s="0" t="s">
        <v>565</v>
      </c>
      <c r="B197" s="0" t="s">
        <v>299</v>
      </c>
      <c r="C197" s="0" t="s">
        <v>360</v>
      </c>
      <c r="D197" s="0" t="s">
        <v>367</v>
      </c>
      <c r="E197" s="15" t="n">
        <v>45965</v>
      </c>
      <c r="F197" s="15"/>
      <c r="G197" s="0" t="n">
        <v>61.7</v>
      </c>
      <c r="H197" s="0" t="n">
        <v>54.3</v>
      </c>
      <c r="I197" s="16" t="s">
        <v>364</v>
      </c>
      <c r="J197" s="0" t="n">
        <v>-7.4</v>
      </c>
    </row>
    <row r="198" customFormat="false" ht="15" hidden="false" customHeight="false" outlineLevel="0" collapsed="false">
      <c r="A198" s="0" t="s">
        <v>566</v>
      </c>
      <c r="B198" s="0" t="s">
        <v>291</v>
      </c>
      <c r="C198" s="0" t="s">
        <v>360</v>
      </c>
      <c r="D198" s="0" t="s">
        <v>352</v>
      </c>
      <c r="E198" s="15" t="n">
        <v>45510</v>
      </c>
      <c r="F198" s="15" t="n">
        <v>45535</v>
      </c>
      <c r="G198" s="0" t="n">
        <v>31.3</v>
      </c>
      <c r="H198" s="0" t="n">
        <v>40.1</v>
      </c>
      <c r="I198" s="16" t="s">
        <v>198</v>
      </c>
      <c r="J198" s="0" t="n">
        <v>8.8</v>
      </c>
    </row>
    <row r="199" customFormat="false" ht="15" hidden="false" customHeight="false" outlineLevel="0" collapsed="false">
      <c r="A199" s="0" t="s">
        <v>567</v>
      </c>
      <c r="B199" s="0" t="s">
        <v>285</v>
      </c>
      <c r="C199" s="0" t="s">
        <v>396</v>
      </c>
      <c r="D199" s="0" t="s">
        <v>355</v>
      </c>
      <c r="E199" s="15" t="n">
        <v>45159</v>
      </c>
      <c r="F199" s="15" t="n">
        <v>45194</v>
      </c>
      <c r="G199" s="0" t="n">
        <v>32.7</v>
      </c>
      <c r="H199" s="0" t="n">
        <v>23.8</v>
      </c>
      <c r="I199" s="16" t="s">
        <v>198</v>
      </c>
      <c r="J199" s="0" t="n">
        <v>-8.9</v>
      </c>
    </row>
    <row r="200" customFormat="false" ht="15" hidden="false" customHeight="false" outlineLevel="0" collapsed="false">
      <c r="A200" s="0" t="s">
        <v>568</v>
      </c>
      <c r="B200" s="0" t="s">
        <v>200</v>
      </c>
      <c r="C200" s="0" t="s">
        <v>396</v>
      </c>
      <c r="D200" s="0" t="s">
        <v>352</v>
      </c>
      <c r="E200" s="15" t="n">
        <v>44838</v>
      </c>
      <c r="F200" s="15" t="n">
        <v>44873</v>
      </c>
      <c r="G200" s="0" t="n">
        <v>35.1</v>
      </c>
      <c r="H200" s="0" t="n">
        <v>34.4</v>
      </c>
      <c r="I200" s="16" t="s">
        <v>198</v>
      </c>
      <c r="J200" s="0" t="n">
        <v>-0.7</v>
      </c>
    </row>
    <row r="201" customFormat="false" ht="15" hidden="false" customHeight="false" outlineLevel="0" collapsed="false">
      <c r="A201" s="0" t="s">
        <v>569</v>
      </c>
      <c r="B201" s="0" t="s">
        <v>308</v>
      </c>
      <c r="C201" s="0" t="s">
        <v>408</v>
      </c>
      <c r="D201" s="0" t="s">
        <v>355</v>
      </c>
      <c r="E201" s="15" t="n">
        <v>44985</v>
      </c>
      <c r="F201" s="15" t="n">
        <v>44998</v>
      </c>
      <c r="G201" s="0" t="n">
        <v>75.1</v>
      </c>
      <c r="H201" s="0" t="n">
        <v>99.5</v>
      </c>
      <c r="I201" s="16" t="s">
        <v>198</v>
      </c>
      <c r="J201" s="0" t="n">
        <v>24.4</v>
      </c>
    </row>
    <row r="202" customFormat="false" ht="15" hidden="false" customHeight="false" outlineLevel="0" collapsed="false">
      <c r="A202" s="0" t="s">
        <v>570</v>
      </c>
      <c r="B202" s="0" t="s">
        <v>231</v>
      </c>
      <c r="C202" s="0" t="s">
        <v>396</v>
      </c>
      <c r="D202" s="0" t="s">
        <v>355</v>
      </c>
      <c r="E202" s="15" t="n">
        <v>45495</v>
      </c>
      <c r="F202" s="15"/>
      <c r="G202" s="0" t="n">
        <v>70.9</v>
      </c>
      <c r="H202" s="0" t="n">
        <v>1</v>
      </c>
      <c r="I202" s="16" t="s">
        <v>364</v>
      </c>
      <c r="J202" s="0" t="n">
        <v>-69.9</v>
      </c>
    </row>
    <row r="203" customFormat="false" ht="15" hidden="false" customHeight="false" outlineLevel="0" collapsed="false">
      <c r="A203" s="0" t="s">
        <v>571</v>
      </c>
      <c r="B203" s="0" t="s">
        <v>223</v>
      </c>
      <c r="C203" s="0" t="s">
        <v>396</v>
      </c>
      <c r="D203" s="0" t="s">
        <v>355</v>
      </c>
      <c r="E203" s="15" t="n">
        <v>45257</v>
      </c>
      <c r="F203" s="15" t="n">
        <v>45296</v>
      </c>
      <c r="G203" s="0" t="n">
        <v>54.4</v>
      </c>
      <c r="H203" s="0" t="n">
        <v>80.1</v>
      </c>
      <c r="I203" s="16" t="s">
        <v>198</v>
      </c>
      <c r="J203" s="0" t="n">
        <v>25.7</v>
      </c>
    </row>
    <row r="204" customFormat="false" ht="15" hidden="false" customHeight="false" outlineLevel="0" collapsed="false">
      <c r="A204" s="0" t="s">
        <v>572</v>
      </c>
      <c r="B204" s="0" t="s">
        <v>215</v>
      </c>
      <c r="C204" s="0" t="s">
        <v>354</v>
      </c>
      <c r="D204" s="0" t="s">
        <v>358</v>
      </c>
      <c r="E204" s="15" t="n">
        <v>45012</v>
      </c>
      <c r="F204" s="15" t="n">
        <v>45026</v>
      </c>
      <c r="G204" s="0" t="n">
        <v>60.8</v>
      </c>
      <c r="H204" s="0" t="n">
        <v>83.7</v>
      </c>
      <c r="I204" s="16" t="s">
        <v>198</v>
      </c>
      <c r="J204" s="0" t="n">
        <v>22.9</v>
      </c>
    </row>
    <row r="205" customFormat="false" ht="15" hidden="false" customHeight="false" outlineLevel="0" collapsed="false">
      <c r="A205" s="0" t="s">
        <v>573</v>
      </c>
      <c r="B205" s="0" t="s">
        <v>257</v>
      </c>
      <c r="C205" s="0" t="s">
        <v>442</v>
      </c>
      <c r="D205" s="0" t="s">
        <v>352</v>
      </c>
      <c r="E205" s="15" t="n">
        <v>44971</v>
      </c>
      <c r="F205" s="15" t="n">
        <v>45008</v>
      </c>
      <c r="G205" s="0" t="n">
        <v>48.6</v>
      </c>
      <c r="H205" s="0" t="n">
        <v>61.8</v>
      </c>
      <c r="I205" s="16" t="s">
        <v>198</v>
      </c>
      <c r="J205" s="0" t="n">
        <v>13.2</v>
      </c>
    </row>
    <row r="206" customFormat="false" ht="15" hidden="false" customHeight="false" outlineLevel="0" collapsed="false">
      <c r="A206" s="0" t="s">
        <v>574</v>
      </c>
      <c r="B206" s="0" t="s">
        <v>274</v>
      </c>
      <c r="C206" s="0" t="s">
        <v>376</v>
      </c>
      <c r="D206" s="0" t="s">
        <v>355</v>
      </c>
      <c r="E206" s="15" t="n">
        <v>44747</v>
      </c>
      <c r="F206" s="15"/>
      <c r="G206" s="0" t="n">
        <v>42.7</v>
      </c>
      <c r="H206" s="0" t="n">
        <v>15.9</v>
      </c>
      <c r="I206" s="16" t="s">
        <v>364</v>
      </c>
      <c r="J206" s="0" t="n">
        <v>-26.8</v>
      </c>
    </row>
    <row r="207" customFormat="false" ht="15" hidden="false" customHeight="false" outlineLevel="0" collapsed="false">
      <c r="A207" s="0" t="s">
        <v>575</v>
      </c>
      <c r="B207" s="0" t="s">
        <v>245</v>
      </c>
      <c r="C207" s="0" t="s">
        <v>374</v>
      </c>
      <c r="D207" s="0" t="s">
        <v>367</v>
      </c>
      <c r="E207" s="15" t="n">
        <v>45227</v>
      </c>
      <c r="F207" s="15"/>
      <c r="G207" s="0" t="n">
        <v>73.1</v>
      </c>
      <c r="H207" s="0" t="n">
        <v>41.2</v>
      </c>
      <c r="I207" s="16" t="s">
        <v>364</v>
      </c>
      <c r="J207" s="0" t="n">
        <v>-31.9</v>
      </c>
    </row>
    <row r="208" customFormat="false" ht="15" hidden="false" customHeight="false" outlineLevel="0" collapsed="false">
      <c r="A208" s="0" t="s">
        <v>576</v>
      </c>
      <c r="B208" s="0" t="s">
        <v>210</v>
      </c>
      <c r="C208" s="0" t="s">
        <v>442</v>
      </c>
      <c r="D208" s="0" t="s">
        <v>367</v>
      </c>
      <c r="E208" s="15" t="n">
        <v>45760</v>
      </c>
      <c r="F208" s="15"/>
      <c r="G208" s="0" t="n">
        <v>54.4</v>
      </c>
      <c r="H208" s="0" t="n">
        <v>38.5</v>
      </c>
      <c r="I208" s="16" t="s">
        <v>364</v>
      </c>
      <c r="J208" s="0" t="n">
        <v>-15.9</v>
      </c>
    </row>
    <row r="209" customFormat="false" ht="15" hidden="false" customHeight="false" outlineLevel="0" collapsed="false">
      <c r="A209" s="0" t="s">
        <v>577</v>
      </c>
      <c r="B209" s="0" t="s">
        <v>299</v>
      </c>
      <c r="C209" s="0" t="s">
        <v>382</v>
      </c>
      <c r="D209" s="0" t="s">
        <v>352</v>
      </c>
      <c r="E209" s="15" t="n">
        <v>45957</v>
      </c>
      <c r="F209" s="15" t="n">
        <v>45969</v>
      </c>
      <c r="G209" s="0" t="n">
        <v>60.8</v>
      </c>
      <c r="H209" s="0" t="n">
        <v>65.3</v>
      </c>
      <c r="I209" s="16" t="s">
        <v>198</v>
      </c>
      <c r="J209" s="0" t="n">
        <v>4.5</v>
      </c>
    </row>
    <row r="210" customFormat="false" ht="15" hidden="false" customHeight="false" outlineLevel="0" collapsed="false">
      <c r="A210" s="0" t="s">
        <v>578</v>
      </c>
      <c r="B210" s="0" t="s">
        <v>274</v>
      </c>
      <c r="C210" s="0" t="s">
        <v>374</v>
      </c>
      <c r="D210" s="0" t="s">
        <v>352</v>
      </c>
      <c r="E210" s="15" t="n">
        <v>44892</v>
      </c>
      <c r="F210" s="15" t="n">
        <v>44922</v>
      </c>
      <c r="G210" s="0" t="n">
        <v>73.3</v>
      </c>
      <c r="H210" s="0" t="n">
        <v>85.2</v>
      </c>
      <c r="I210" s="16" t="s">
        <v>198</v>
      </c>
      <c r="J210" s="0" t="n">
        <v>11.9</v>
      </c>
    </row>
    <row r="211" customFormat="false" ht="15" hidden="false" customHeight="false" outlineLevel="0" collapsed="false">
      <c r="A211" s="0" t="s">
        <v>579</v>
      </c>
      <c r="B211" s="0" t="s">
        <v>194</v>
      </c>
      <c r="C211" s="0" t="s">
        <v>382</v>
      </c>
      <c r="D211" s="0" t="s">
        <v>358</v>
      </c>
      <c r="E211" s="15" t="n">
        <v>45726</v>
      </c>
      <c r="F211" s="15" t="n">
        <v>45748</v>
      </c>
      <c r="G211" s="0" t="n">
        <v>52.4</v>
      </c>
      <c r="H211" s="0" t="n">
        <v>79.8</v>
      </c>
      <c r="I211" s="16" t="s">
        <v>198</v>
      </c>
      <c r="J211" s="0" t="n">
        <v>27.4</v>
      </c>
    </row>
    <row r="212" customFormat="false" ht="15" hidden="false" customHeight="false" outlineLevel="0" collapsed="false">
      <c r="A212" s="0" t="s">
        <v>580</v>
      </c>
      <c r="B212" s="0" t="s">
        <v>221</v>
      </c>
      <c r="C212" s="0" t="s">
        <v>387</v>
      </c>
      <c r="D212" s="0" t="s">
        <v>355</v>
      </c>
      <c r="E212" s="15" t="n">
        <v>44847</v>
      </c>
      <c r="F212" s="15" t="n">
        <v>44860</v>
      </c>
      <c r="G212" s="0" t="n">
        <v>6</v>
      </c>
      <c r="H212" s="0" t="n">
        <v>5.9</v>
      </c>
      <c r="I212" s="16" t="s">
        <v>198</v>
      </c>
      <c r="J212" s="0" t="n">
        <v>-0.1</v>
      </c>
    </row>
    <row r="213" customFormat="false" ht="15" hidden="false" customHeight="false" outlineLevel="0" collapsed="false">
      <c r="A213" s="0" t="s">
        <v>581</v>
      </c>
      <c r="B213" s="0" t="s">
        <v>217</v>
      </c>
      <c r="C213" s="0" t="s">
        <v>396</v>
      </c>
      <c r="D213" s="0" t="s">
        <v>367</v>
      </c>
      <c r="E213" s="15" t="n">
        <v>45468</v>
      </c>
      <c r="F213" s="15"/>
      <c r="G213" s="0" t="n">
        <v>47.8</v>
      </c>
      <c r="H213" s="0" t="n">
        <v>28.9</v>
      </c>
      <c r="I213" s="16" t="s">
        <v>364</v>
      </c>
      <c r="J213" s="0" t="n">
        <v>-18.9</v>
      </c>
    </row>
    <row r="214" customFormat="false" ht="15" hidden="false" customHeight="false" outlineLevel="0" collapsed="false">
      <c r="A214" s="0" t="s">
        <v>582</v>
      </c>
      <c r="B214" s="0" t="s">
        <v>251</v>
      </c>
      <c r="C214" s="0" t="s">
        <v>357</v>
      </c>
      <c r="D214" s="0" t="s">
        <v>355</v>
      </c>
      <c r="E214" s="15" t="n">
        <v>45103</v>
      </c>
      <c r="F214" s="15" t="n">
        <v>45104</v>
      </c>
      <c r="G214" s="0" t="n">
        <v>18.5</v>
      </c>
      <c r="H214" s="0" t="n">
        <v>14.6</v>
      </c>
      <c r="I214" s="16" t="s">
        <v>198</v>
      </c>
      <c r="J214" s="0" t="n">
        <v>-3.9</v>
      </c>
    </row>
    <row r="215" customFormat="false" ht="15" hidden="false" customHeight="false" outlineLevel="0" collapsed="false">
      <c r="A215" s="0" t="s">
        <v>583</v>
      </c>
      <c r="B215" s="0" t="s">
        <v>313</v>
      </c>
      <c r="C215" s="0" t="s">
        <v>442</v>
      </c>
      <c r="D215" s="0" t="s">
        <v>358</v>
      </c>
      <c r="E215" s="15" t="n">
        <v>45335</v>
      </c>
      <c r="F215" s="15" t="n">
        <v>45349</v>
      </c>
      <c r="G215" s="0" t="n">
        <v>32.9</v>
      </c>
      <c r="H215" s="0" t="n">
        <v>27.6</v>
      </c>
      <c r="I215" s="16" t="s">
        <v>198</v>
      </c>
      <c r="J215" s="0" t="n">
        <v>-5.3</v>
      </c>
    </row>
    <row r="216" customFormat="false" ht="15" hidden="false" customHeight="false" outlineLevel="0" collapsed="false">
      <c r="A216" s="0" t="s">
        <v>584</v>
      </c>
      <c r="B216" s="0" t="s">
        <v>293</v>
      </c>
      <c r="C216" s="0" t="s">
        <v>363</v>
      </c>
      <c r="D216" s="0" t="s">
        <v>367</v>
      </c>
      <c r="E216" s="15" t="n">
        <v>45860</v>
      </c>
      <c r="F216" s="15" t="n">
        <v>45883</v>
      </c>
      <c r="G216" s="0" t="n">
        <v>26.1</v>
      </c>
      <c r="H216" s="0" t="n">
        <v>25</v>
      </c>
      <c r="I216" s="16" t="s">
        <v>198</v>
      </c>
      <c r="J216" s="0" t="n">
        <v>-1.1</v>
      </c>
    </row>
    <row r="217" customFormat="false" ht="15" hidden="false" customHeight="false" outlineLevel="0" collapsed="false">
      <c r="A217" s="0" t="s">
        <v>585</v>
      </c>
      <c r="B217" s="0" t="s">
        <v>310</v>
      </c>
      <c r="C217" s="0" t="s">
        <v>442</v>
      </c>
      <c r="D217" s="0" t="s">
        <v>352</v>
      </c>
      <c r="E217" s="15" t="n">
        <v>45399</v>
      </c>
      <c r="F217" s="15"/>
      <c r="G217" s="0" t="n">
        <v>58.3</v>
      </c>
      <c r="H217" s="0" t="n">
        <v>40</v>
      </c>
      <c r="I217" s="16" t="s">
        <v>364</v>
      </c>
      <c r="J217" s="0" t="n">
        <v>-18.3</v>
      </c>
    </row>
    <row r="218" customFormat="false" ht="15" hidden="false" customHeight="false" outlineLevel="0" collapsed="false">
      <c r="A218" s="0" t="s">
        <v>586</v>
      </c>
      <c r="B218" s="0" t="s">
        <v>291</v>
      </c>
      <c r="C218" s="0" t="s">
        <v>369</v>
      </c>
      <c r="D218" s="0" t="s">
        <v>358</v>
      </c>
      <c r="E218" s="15" t="n">
        <v>45493</v>
      </c>
      <c r="F218" s="15" t="n">
        <v>45530</v>
      </c>
      <c r="G218" s="0" t="n">
        <v>69.4</v>
      </c>
      <c r="H218" s="0" t="n">
        <v>93.1</v>
      </c>
      <c r="I218" s="16" t="s">
        <v>198</v>
      </c>
      <c r="J218" s="0" t="n">
        <v>23.7</v>
      </c>
    </row>
    <row r="219" customFormat="false" ht="15" hidden="false" customHeight="false" outlineLevel="0" collapsed="false">
      <c r="A219" s="0" t="s">
        <v>587</v>
      </c>
      <c r="B219" s="0" t="s">
        <v>328</v>
      </c>
      <c r="C219" s="0" t="s">
        <v>396</v>
      </c>
      <c r="D219" s="0" t="s">
        <v>367</v>
      </c>
      <c r="E219" s="15" t="n">
        <v>45798</v>
      </c>
      <c r="F219" s="15" t="n">
        <v>45825</v>
      </c>
      <c r="G219" s="0" t="n">
        <v>25</v>
      </c>
      <c r="H219" s="0" t="n">
        <v>19.9</v>
      </c>
      <c r="I219" s="16" t="s">
        <v>198</v>
      </c>
      <c r="J219" s="0" t="n">
        <v>-5.1</v>
      </c>
    </row>
    <row r="220" customFormat="false" ht="15" hidden="false" customHeight="false" outlineLevel="0" collapsed="false">
      <c r="A220" s="0" t="s">
        <v>588</v>
      </c>
      <c r="B220" s="0" t="s">
        <v>276</v>
      </c>
      <c r="C220" s="0" t="s">
        <v>351</v>
      </c>
      <c r="D220" s="0" t="s">
        <v>367</v>
      </c>
      <c r="E220" s="15" t="n">
        <v>45003</v>
      </c>
      <c r="F220" s="15" t="n">
        <v>45045</v>
      </c>
      <c r="G220" s="0" t="n">
        <v>75.6</v>
      </c>
      <c r="H220" s="0" t="n">
        <v>70.9</v>
      </c>
      <c r="I220" s="16" t="s">
        <v>198</v>
      </c>
      <c r="J220" s="0" t="n">
        <v>-4.7</v>
      </c>
    </row>
    <row r="221" customFormat="false" ht="15" hidden="false" customHeight="false" outlineLevel="0" collapsed="false">
      <c r="A221" s="0" t="s">
        <v>589</v>
      </c>
      <c r="B221" s="0" t="s">
        <v>227</v>
      </c>
      <c r="C221" s="0" t="s">
        <v>372</v>
      </c>
      <c r="D221" s="0" t="s">
        <v>352</v>
      </c>
      <c r="E221" s="15" t="n">
        <v>45682</v>
      </c>
      <c r="F221" s="15" t="n">
        <v>45705</v>
      </c>
      <c r="G221" s="0" t="n">
        <v>15.2</v>
      </c>
      <c r="H221" s="0" t="n">
        <v>20.1</v>
      </c>
      <c r="I221" s="16" t="s">
        <v>198</v>
      </c>
      <c r="J221" s="0" t="n">
        <v>4.9</v>
      </c>
    </row>
    <row r="222" customFormat="false" ht="15" hidden="false" customHeight="false" outlineLevel="0" collapsed="false">
      <c r="A222" s="0" t="s">
        <v>590</v>
      </c>
      <c r="B222" s="0" t="s">
        <v>326</v>
      </c>
      <c r="C222" s="0" t="s">
        <v>408</v>
      </c>
      <c r="D222" s="0" t="s">
        <v>355</v>
      </c>
      <c r="E222" s="15" t="n">
        <v>45179</v>
      </c>
      <c r="F222" s="15"/>
      <c r="G222" s="0" t="n">
        <v>42.9</v>
      </c>
      <c r="H222" s="0" t="n">
        <v>32.4</v>
      </c>
      <c r="I222" s="16" t="s">
        <v>364</v>
      </c>
      <c r="J222" s="0" t="n">
        <v>-10.5</v>
      </c>
    </row>
    <row r="223" customFormat="false" ht="15" hidden="false" customHeight="false" outlineLevel="0" collapsed="false">
      <c r="A223" s="0" t="s">
        <v>591</v>
      </c>
      <c r="B223" s="0" t="s">
        <v>194</v>
      </c>
      <c r="C223" s="0" t="s">
        <v>369</v>
      </c>
      <c r="D223" s="0" t="s">
        <v>352</v>
      </c>
      <c r="E223" s="15" t="n">
        <v>45361</v>
      </c>
      <c r="F223" s="15" t="n">
        <v>45402</v>
      </c>
      <c r="G223" s="0" t="n">
        <v>20.1</v>
      </c>
      <c r="H223" s="0" t="n">
        <v>26.3</v>
      </c>
      <c r="I223" s="16" t="s">
        <v>198</v>
      </c>
      <c r="J223" s="0" t="n">
        <v>6.2</v>
      </c>
    </row>
    <row r="224" customFormat="false" ht="15" hidden="false" customHeight="false" outlineLevel="0" collapsed="false">
      <c r="A224" s="0" t="s">
        <v>592</v>
      </c>
      <c r="B224" s="0" t="s">
        <v>318</v>
      </c>
      <c r="C224" s="0" t="s">
        <v>363</v>
      </c>
      <c r="D224" s="0" t="s">
        <v>367</v>
      </c>
      <c r="E224" s="15" t="n">
        <v>45668</v>
      </c>
      <c r="F224" s="15" t="n">
        <v>45708</v>
      </c>
      <c r="G224" s="0" t="n">
        <v>51.7</v>
      </c>
      <c r="H224" s="0" t="n">
        <v>79.3</v>
      </c>
      <c r="I224" s="16" t="s">
        <v>198</v>
      </c>
      <c r="J224" s="0" t="n">
        <v>27.6</v>
      </c>
    </row>
    <row r="225" customFormat="false" ht="15" hidden="false" customHeight="false" outlineLevel="0" collapsed="false">
      <c r="A225" s="0" t="s">
        <v>593</v>
      </c>
      <c r="B225" s="0" t="s">
        <v>227</v>
      </c>
      <c r="C225" s="0" t="s">
        <v>357</v>
      </c>
      <c r="D225" s="0" t="s">
        <v>358</v>
      </c>
      <c r="E225" s="15" t="n">
        <v>45569</v>
      </c>
      <c r="F225" s="15" t="n">
        <v>45605</v>
      </c>
      <c r="G225" s="0" t="n">
        <v>34.1</v>
      </c>
      <c r="H225" s="0" t="n">
        <v>21</v>
      </c>
      <c r="I225" s="16" t="s">
        <v>198</v>
      </c>
      <c r="J225" s="0" t="n">
        <v>-13.1</v>
      </c>
    </row>
    <row r="226" customFormat="false" ht="15" hidden="false" customHeight="false" outlineLevel="0" collapsed="false">
      <c r="A226" s="0" t="s">
        <v>594</v>
      </c>
      <c r="B226" s="0" t="s">
        <v>200</v>
      </c>
      <c r="C226" s="0" t="s">
        <v>363</v>
      </c>
      <c r="D226" s="0" t="s">
        <v>352</v>
      </c>
      <c r="E226" s="15" t="n">
        <v>45127</v>
      </c>
      <c r="F226" s="15" t="n">
        <v>45172</v>
      </c>
      <c r="G226" s="0" t="n">
        <v>54.6</v>
      </c>
      <c r="H226" s="0" t="n">
        <v>76.8</v>
      </c>
      <c r="I226" s="16" t="s">
        <v>198</v>
      </c>
      <c r="J226" s="0" t="n">
        <v>22.2</v>
      </c>
    </row>
    <row r="227" customFormat="false" ht="15" hidden="false" customHeight="false" outlineLevel="0" collapsed="false">
      <c r="A227" s="0" t="s">
        <v>595</v>
      </c>
      <c r="B227" s="0" t="s">
        <v>225</v>
      </c>
      <c r="C227" s="0" t="s">
        <v>382</v>
      </c>
      <c r="D227" s="0" t="s">
        <v>358</v>
      </c>
      <c r="E227" s="15" t="n">
        <v>45698</v>
      </c>
      <c r="F227" s="15" t="n">
        <v>45714</v>
      </c>
      <c r="G227" s="0" t="n">
        <v>17</v>
      </c>
      <c r="H227" s="0" t="n">
        <v>19.1</v>
      </c>
      <c r="I227" s="16" t="s">
        <v>198</v>
      </c>
      <c r="J227" s="0" t="n">
        <v>2.1</v>
      </c>
    </row>
    <row r="228" customFormat="false" ht="15" hidden="false" customHeight="false" outlineLevel="0" collapsed="false">
      <c r="A228" s="0" t="s">
        <v>596</v>
      </c>
      <c r="B228" s="0" t="s">
        <v>266</v>
      </c>
      <c r="C228" s="0" t="s">
        <v>357</v>
      </c>
      <c r="D228" s="0" t="s">
        <v>352</v>
      </c>
      <c r="E228" s="15" t="n">
        <v>45828</v>
      </c>
      <c r="F228" s="15" t="n">
        <v>45854</v>
      </c>
      <c r="G228" s="0" t="n">
        <v>37.8</v>
      </c>
      <c r="H228" s="0" t="n">
        <v>31.9</v>
      </c>
      <c r="I228" s="16" t="s">
        <v>198</v>
      </c>
      <c r="J228" s="0" t="n">
        <v>-5.9</v>
      </c>
    </row>
    <row r="229" customFormat="false" ht="15" hidden="false" customHeight="false" outlineLevel="0" collapsed="false">
      <c r="A229" s="0" t="s">
        <v>597</v>
      </c>
      <c r="B229" s="0" t="s">
        <v>274</v>
      </c>
      <c r="C229" s="0" t="s">
        <v>360</v>
      </c>
      <c r="D229" s="0" t="s">
        <v>355</v>
      </c>
      <c r="E229" s="15" t="n">
        <v>44886</v>
      </c>
      <c r="F229" s="15"/>
      <c r="G229" s="0" t="n">
        <v>8.3</v>
      </c>
      <c r="H229" s="0" t="n">
        <v>7.4</v>
      </c>
      <c r="I229" s="16" t="s">
        <v>364</v>
      </c>
      <c r="J229" s="0" t="n">
        <v>-0.9</v>
      </c>
    </row>
    <row r="230" customFormat="false" ht="15" hidden="false" customHeight="false" outlineLevel="0" collapsed="false">
      <c r="A230" s="0" t="s">
        <v>598</v>
      </c>
      <c r="B230" s="0" t="s">
        <v>221</v>
      </c>
      <c r="C230" s="0" t="s">
        <v>357</v>
      </c>
      <c r="D230" s="0" t="s">
        <v>352</v>
      </c>
      <c r="E230" s="15" t="n">
        <v>44813</v>
      </c>
      <c r="F230" s="15" t="n">
        <v>44849</v>
      </c>
      <c r="G230" s="0" t="n">
        <v>39.1</v>
      </c>
      <c r="H230" s="0" t="n">
        <v>48.4</v>
      </c>
      <c r="I230" s="16" t="s">
        <v>198</v>
      </c>
      <c r="J230" s="0" t="n">
        <v>9.3</v>
      </c>
    </row>
    <row r="231" customFormat="false" ht="15" hidden="false" customHeight="false" outlineLevel="0" collapsed="false">
      <c r="A231" s="0" t="s">
        <v>599</v>
      </c>
      <c r="B231" s="0" t="s">
        <v>219</v>
      </c>
      <c r="C231" s="0" t="s">
        <v>382</v>
      </c>
      <c r="D231" s="0" t="s">
        <v>355</v>
      </c>
      <c r="E231" s="15" t="n">
        <v>45332</v>
      </c>
      <c r="F231" s="15"/>
      <c r="G231" s="0" t="n">
        <v>52.3</v>
      </c>
      <c r="H231" s="0" t="n">
        <v>15.6</v>
      </c>
      <c r="I231" s="16" t="s">
        <v>364</v>
      </c>
      <c r="J231" s="0" t="n">
        <v>-36.7</v>
      </c>
    </row>
    <row r="232" customFormat="false" ht="15" hidden="false" customHeight="false" outlineLevel="0" collapsed="false">
      <c r="A232" s="0" t="s">
        <v>600</v>
      </c>
      <c r="B232" s="0" t="s">
        <v>323</v>
      </c>
      <c r="C232" s="0" t="s">
        <v>369</v>
      </c>
      <c r="D232" s="0" t="s">
        <v>355</v>
      </c>
      <c r="E232" s="15" t="n">
        <v>45137</v>
      </c>
      <c r="F232" s="15" t="n">
        <v>45182</v>
      </c>
      <c r="G232" s="0" t="n">
        <v>71.2</v>
      </c>
      <c r="H232" s="0" t="n">
        <v>76.6</v>
      </c>
      <c r="I232" s="16" t="s">
        <v>198</v>
      </c>
      <c r="J232" s="0" t="n">
        <v>5.4</v>
      </c>
    </row>
    <row r="233" customFormat="false" ht="15" hidden="false" customHeight="false" outlineLevel="0" collapsed="false">
      <c r="A233" s="0" t="s">
        <v>601</v>
      </c>
      <c r="B233" s="0" t="s">
        <v>268</v>
      </c>
      <c r="C233" s="0" t="s">
        <v>369</v>
      </c>
      <c r="D233" s="0" t="s">
        <v>352</v>
      </c>
      <c r="E233" s="15" t="n">
        <v>45943</v>
      </c>
      <c r="F233" s="15" t="n">
        <v>45946</v>
      </c>
      <c r="G233" s="0" t="n">
        <v>16</v>
      </c>
      <c r="H233" s="0" t="n">
        <v>23.2</v>
      </c>
      <c r="I233" s="16" t="s">
        <v>198</v>
      </c>
      <c r="J233" s="0" t="n">
        <v>7.2</v>
      </c>
    </row>
    <row r="234" customFormat="false" ht="15" hidden="false" customHeight="false" outlineLevel="0" collapsed="false">
      <c r="A234" s="0" t="s">
        <v>602</v>
      </c>
      <c r="B234" s="0" t="s">
        <v>285</v>
      </c>
      <c r="C234" s="0" t="s">
        <v>408</v>
      </c>
      <c r="D234" s="0" t="s">
        <v>358</v>
      </c>
      <c r="E234" s="15" t="n">
        <v>45603</v>
      </c>
      <c r="F234" s="15"/>
      <c r="G234" s="0" t="n">
        <v>57.6</v>
      </c>
      <c r="H234" s="0" t="n">
        <v>20.6</v>
      </c>
      <c r="I234" s="16" t="s">
        <v>364</v>
      </c>
      <c r="J234" s="0" t="n">
        <v>-37</v>
      </c>
    </row>
    <row r="235" customFormat="false" ht="15" hidden="false" customHeight="false" outlineLevel="0" collapsed="false">
      <c r="A235" s="0" t="s">
        <v>603</v>
      </c>
      <c r="B235" s="0" t="s">
        <v>239</v>
      </c>
      <c r="C235" s="0" t="s">
        <v>374</v>
      </c>
      <c r="D235" s="0" t="s">
        <v>352</v>
      </c>
      <c r="E235" s="15" t="n">
        <v>45337</v>
      </c>
      <c r="F235" s="15" t="n">
        <v>45362</v>
      </c>
      <c r="G235" s="0" t="n">
        <v>54.8</v>
      </c>
      <c r="H235" s="0" t="n">
        <v>62.5</v>
      </c>
      <c r="I235" s="16" t="s">
        <v>198</v>
      </c>
      <c r="J235" s="0" t="n">
        <v>7.7</v>
      </c>
    </row>
    <row r="236" customFormat="false" ht="15" hidden="false" customHeight="false" outlineLevel="0" collapsed="false">
      <c r="A236" s="0" t="s">
        <v>604</v>
      </c>
      <c r="B236" s="0" t="s">
        <v>219</v>
      </c>
      <c r="C236" s="0" t="s">
        <v>382</v>
      </c>
      <c r="D236" s="0" t="s">
        <v>355</v>
      </c>
      <c r="E236" s="15" t="n">
        <v>45333</v>
      </c>
      <c r="F236" s="15" t="n">
        <v>45356</v>
      </c>
      <c r="G236" s="0" t="n">
        <v>6.2</v>
      </c>
      <c r="H236" s="0" t="n">
        <v>6.4</v>
      </c>
      <c r="I236" s="16" t="s">
        <v>198</v>
      </c>
      <c r="J236" s="0" t="n">
        <v>0.2</v>
      </c>
    </row>
    <row r="237" customFormat="false" ht="15" hidden="false" customHeight="false" outlineLevel="0" collapsed="false">
      <c r="A237" s="0" t="s">
        <v>605</v>
      </c>
      <c r="B237" s="0" t="s">
        <v>283</v>
      </c>
      <c r="C237" s="0" t="s">
        <v>351</v>
      </c>
      <c r="D237" s="0" t="s">
        <v>358</v>
      </c>
      <c r="E237" s="15" t="n">
        <v>45629</v>
      </c>
      <c r="F237" s="15"/>
      <c r="G237" s="0" t="n">
        <v>76.5</v>
      </c>
      <c r="H237" s="0" t="n">
        <v>27.3</v>
      </c>
      <c r="I237" s="16" t="s">
        <v>364</v>
      </c>
      <c r="J237" s="0" t="n">
        <v>-49.2</v>
      </c>
    </row>
    <row r="238" customFormat="false" ht="15" hidden="false" customHeight="false" outlineLevel="0" collapsed="false">
      <c r="A238" s="0" t="s">
        <v>606</v>
      </c>
      <c r="B238" s="0" t="s">
        <v>203</v>
      </c>
      <c r="C238" s="0" t="s">
        <v>374</v>
      </c>
      <c r="D238" s="0" t="s">
        <v>367</v>
      </c>
      <c r="E238" s="15" t="n">
        <v>45208</v>
      </c>
      <c r="F238" s="15" t="n">
        <v>45237</v>
      </c>
      <c r="G238" s="0" t="n">
        <v>40.3</v>
      </c>
      <c r="H238" s="0" t="n">
        <v>38.5</v>
      </c>
      <c r="I238" s="16" t="s">
        <v>198</v>
      </c>
      <c r="J238" s="0" t="n">
        <v>-1.8</v>
      </c>
    </row>
    <row r="239" customFormat="false" ht="15" hidden="false" customHeight="false" outlineLevel="0" collapsed="false">
      <c r="A239" s="0" t="s">
        <v>607</v>
      </c>
      <c r="B239" s="0" t="s">
        <v>245</v>
      </c>
      <c r="C239" s="0" t="s">
        <v>351</v>
      </c>
      <c r="D239" s="0" t="s">
        <v>352</v>
      </c>
      <c r="E239" s="15" t="n">
        <v>44786</v>
      </c>
      <c r="F239" s="15" t="n">
        <v>44811</v>
      </c>
      <c r="G239" s="0" t="n">
        <v>8.7</v>
      </c>
      <c r="H239" s="0" t="n">
        <v>10.6</v>
      </c>
      <c r="I239" s="16" t="s">
        <v>198</v>
      </c>
      <c r="J239" s="0" t="n">
        <v>1.9</v>
      </c>
    </row>
    <row r="240" customFormat="false" ht="15" hidden="false" customHeight="false" outlineLevel="0" collapsed="false">
      <c r="A240" s="0" t="s">
        <v>608</v>
      </c>
      <c r="B240" s="0" t="s">
        <v>217</v>
      </c>
      <c r="C240" s="0" t="s">
        <v>357</v>
      </c>
      <c r="D240" s="0" t="s">
        <v>367</v>
      </c>
      <c r="E240" s="15" t="n">
        <v>45441</v>
      </c>
      <c r="F240" s="15" t="n">
        <v>45466</v>
      </c>
      <c r="G240" s="0" t="n">
        <v>57.5</v>
      </c>
      <c r="H240" s="0" t="n">
        <v>70.9</v>
      </c>
      <c r="I240" s="16" t="s">
        <v>198</v>
      </c>
      <c r="J240" s="0" t="n">
        <v>13.4</v>
      </c>
    </row>
    <row r="241" customFormat="false" ht="15" hidden="false" customHeight="false" outlineLevel="0" collapsed="false">
      <c r="A241" s="0" t="s">
        <v>609</v>
      </c>
      <c r="B241" s="0" t="s">
        <v>221</v>
      </c>
      <c r="C241" s="0" t="s">
        <v>351</v>
      </c>
      <c r="D241" s="0" t="s">
        <v>358</v>
      </c>
      <c r="E241" s="15" t="n">
        <v>45524</v>
      </c>
      <c r="F241" s="15" t="n">
        <v>45525</v>
      </c>
      <c r="G241" s="0" t="n">
        <v>75.6</v>
      </c>
      <c r="H241" s="0" t="n">
        <v>79</v>
      </c>
      <c r="I241" s="16" t="s">
        <v>198</v>
      </c>
      <c r="J241" s="0" t="n">
        <v>3.4</v>
      </c>
    </row>
    <row r="242" customFormat="false" ht="15" hidden="false" customHeight="false" outlineLevel="0" collapsed="false">
      <c r="A242" s="0" t="s">
        <v>610</v>
      </c>
      <c r="B242" s="0" t="s">
        <v>225</v>
      </c>
      <c r="C242" s="0" t="s">
        <v>374</v>
      </c>
      <c r="D242" s="0" t="s">
        <v>355</v>
      </c>
      <c r="E242" s="15" t="n">
        <v>45707</v>
      </c>
      <c r="F242" s="15" t="n">
        <v>45735</v>
      </c>
      <c r="G242" s="0" t="n">
        <v>37</v>
      </c>
      <c r="H242" s="0" t="n">
        <v>42.7</v>
      </c>
      <c r="I242" s="16" t="s">
        <v>198</v>
      </c>
      <c r="J242" s="0" t="n">
        <v>5.7</v>
      </c>
    </row>
    <row r="243" customFormat="false" ht="15" hidden="false" customHeight="false" outlineLevel="0" collapsed="false">
      <c r="A243" s="0" t="s">
        <v>611</v>
      </c>
      <c r="B243" s="0" t="s">
        <v>203</v>
      </c>
      <c r="C243" s="0" t="s">
        <v>382</v>
      </c>
      <c r="D243" s="0" t="s">
        <v>367</v>
      </c>
      <c r="E243" s="15" t="n">
        <v>45068</v>
      </c>
      <c r="F243" s="15" t="n">
        <v>45074</v>
      </c>
      <c r="G243" s="0" t="n">
        <v>48.6</v>
      </c>
      <c r="H243" s="0" t="n">
        <v>67.3</v>
      </c>
      <c r="I243" s="16" t="s">
        <v>198</v>
      </c>
      <c r="J243" s="0" t="n">
        <v>18.7</v>
      </c>
    </row>
    <row r="244" customFormat="false" ht="15" hidden="false" customHeight="false" outlineLevel="0" collapsed="false">
      <c r="A244" s="0" t="s">
        <v>612</v>
      </c>
      <c r="B244" s="0" t="s">
        <v>197</v>
      </c>
      <c r="C244" s="0" t="s">
        <v>396</v>
      </c>
      <c r="D244" s="0" t="s">
        <v>352</v>
      </c>
      <c r="E244" s="15" t="n">
        <v>45500</v>
      </c>
      <c r="F244" s="15" t="n">
        <v>45506</v>
      </c>
      <c r="G244" s="0" t="n">
        <v>58.5</v>
      </c>
      <c r="H244" s="0" t="n">
        <v>67.8</v>
      </c>
      <c r="I244" s="16" t="s">
        <v>198</v>
      </c>
      <c r="J244" s="0" t="n">
        <v>9.3</v>
      </c>
    </row>
    <row r="245" customFormat="false" ht="15" hidden="false" customHeight="false" outlineLevel="0" collapsed="false">
      <c r="A245" s="0" t="s">
        <v>613</v>
      </c>
      <c r="B245" s="0" t="s">
        <v>293</v>
      </c>
      <c r="C245" s="0" t="s">
        <v>354</v>
      </c>
      <c r="D245" s="0" t="s">
        <v>367</v>
      </c>
      <c r="E245" s="15" t="n">
        <v>45784</v>
      </c>
      <c r="F245" s="15" t="n">
        <v>45804</v>
      </c>
      <c r="G245" s="0" t="n">
        <v>22.9</v>
      </c>
      <c r="H245" s="0" t="n">
        <v>17.1</v>
      </c>
      <c r="I245" s="16" t="s">
        <v>198</v>
      </c>
      <c r="J245" s="0" t="n">
        <v>-5.8</v>
      </c>
    </row>
    <row r="246" customFormat="false" ht="15" hidden="false" customHeight="false" outlineLevel="0" collapsed="false">
      <c r="A246" s="0" t="s">
        <v>614</v>
      </c>
      <c r="B246" s="0" t="s">
        <v>268</v>
      </c>
      <c r="C246" s="0" t="s">
        <v>357</v>
      </c>
      <c r="D246" s="0" t="s">
        <v>367</v>
      </c>
      <c r="E246" s="15" t="n">
        <v>45911</v>
      </c>
      <c r="F246" s="15" t="n">
        <v>45916</v>
      </c>
      <c r="G246" s="0" t="n">
        <v>30.2</v>
      </c>
      <c r="H246" s="0" t="n">
        <v>46.6</v>
      </c>
      <c r="I246" s="16" t="s">
        <v>198</v>
      </c>
      <c r="J246" s="0" t="n">
        <v>16.4</v>
      </c>
    </row>
    <row r="247" customFormat="false" ht="15" hidden="false" customHeight="false" outlineLevel="0" collapsed="false">
      <c r="A247" s="0" t="s">
        <v>615</v>
      </c>
      <c r="B247" s="0" t="s">
        <v>285</v>
      </c>
      <c r="C247" s="0" t="s">
        <v>374</v>
      </c>
      <c r="D247" s="0" t="s">
        <v>358</v>
      </c>
      <c r="E247" s="15" t="n">
        <v>45096</v>
      </c>
      <c r="F247" s="15" t="n">
        <v>45103</v>
      </c>
      <c r="G247" s="0" t="n">
        <v>12.6</v>
      </c>
      <c r="H247" s="0" t="n">
        <v>7.6</v>
      </c>
      <c r="I247" s="16" t="s">
        <v>198</v>
      </c>
      <c r="J247" s="0" t="n">
        <v>-5</v>
      </c>
    </row>
    <row r="248" customFormat="false" ht="15" hidden="false" customHeight="false" outlineLevel="0" collapsed="false">
      <c r="A248" s="0" t="s">
        <v>616</v>
      </c>
      <c r="B248" s="0" t="s">
        <v>296</v>
      </c>
      <c r="C248" s="0" t="s">
        <v>382</v>
      </c>
      <c r="D248" s="0" t="s">
        <v>352</v>
      </c>
      <c r="E248" s="15" t="n">
        <v>45729</v>
      </c>
      <c r="F248" s="15"/>
      <c r="G248" s="0" t="n">
        <v>27.7</v>
      </c>
      <c r="H248" s="0" t="n">
        <v>8.3</v>
      </c>
      <c r="I248" s="16" t="s">
        <v>364</v>
      </c>
      <c r="J248" s="0" t="n">
        <v>-19.4</v>
      </c>
    </row>
    <row r="249" customFormat="false" ht="15" hidden="false" customHeight="false" outlineLevel="0" collapsed="false">
      <c r="A249" s="0" t="s">
        <v>617</v>
      </c>
      <c r="B249" s="0" t="s">
        <v>274</v>
      </c>
      <c r="C249" s="0" t="s">
        <v>374</v>
      </c>
      <c r="D249" s="0" t="s">
        <v>358</v>
      </c>
      <c r="E249" s="15" t="n">
        <v>44793</v>
      </c>
      <c r="F249" s="15" t="n">
        <v>44838</v>
      </c>
      <c r="G249" s="0" t="n">
        <v>17.7</v>
      </c>
      <c r="H249" s="0" t="n">
        <v>16.2</v>
      </c>
      <c r="I249" s="16" t="s">
        <v>198</v>
      </c>
      <c r="J249" s="0" t="n">
        <v>-1.5</v>
      </c>
    </row>
    <row r="250" customFormat="false" ht="15" hidden="false" customHeight="false" outlineLevel="0" collapsed="false">
      <c r="A250" s="0" t="s">
        <v>618</v>
      </c>
      <c r="B250" s="0" t="s">
        <v>272</v>
      </c>
      <c r="C250" s="0" t="s">
        <v>442</v>
      </c>
      <c r="D250" s="0" t="s">
        <v>367</v>
      </c>
      <c r="E250" s="15" t="n">
        <v>45231</v>
      </c>
      <c r="F250" s="15" t="n">
        <v>45263</v>
      </c>
      <c r="G250" s="0" t="n">
        <v>77.5</v>
      </c>
      <c r="H250" s="0" t="n">
        <v>107.1</v>
      </c>
      <c r="I250" s="16" t="s">
        <v>198</v>
      </c>
      <c r="J250" s="0" t="n">
        <v>29.6</v>
      </c>
    </row>
    <row r="251" customFormat="false" ht="15" hidden="false" customHeight="false" outlineLevel="0" collapsed="false">
      <c r="A251" s="0" t="s">
        <v>619</v>
      </c>
      <c r="B251" s="0" t="s">
        <v>268</v>
      </c>
      <c r="C251" s="0" t="s">
        <v>354</v>
      </c>
      <c r="D251" s="0" t="s">
        <v>355</v>
      </c>
      <c r="E251" s="15" t="n">
        <v>45904</v>
      </c>
      <c r="F251" s="15" t="n">
        <v>45941</v>
      </c>
      <c r="G251" s="0" t="n">
        <v>17.6</v>
      </c>
      <c r="H251" s="0" t="n">
        <v>28.1</v>
      </c>
      <c r="I251" s="16" t="s">
        <v>198</v>
      </c>
      <c r="J251" s="0" t="n">
        <v>10.5</v>
      </c>
    </row>
    <row r="252" customFormat="false" ht="15" hidden="false" customHeight="false" outlineLevel="0" collapsed="false">
      <c r="A252" s="0" t="s">
        <v>620</v>
      </c>
      <c r="B252" s="0" t="s">
        <v>310</v>
      </c>
      <c r="C252" s="0" t="s">
        <v>382</v>
      </c>
      <c r="D252" s="0" t="s">
        <v>367</v>
      </c>
      <c r="E252" s="15" t="n">
        <v>45555</v>
      </c>
      <c r="F252" s="15" t="n">
        <v>45574</v>
      </c>
      <c r="G252" s="0" t="n">
        <v>66.8</v>
      </c>
      <c r="H252" s="0" t="n">
        <v>44.7</v>
      </c>
      <c r="I252" s="16" t="s">
        <v>198</v>
      </c>
      <c r="J252" s="0" t="n">
        <v>-22.1</v>
      </c>
    </row>
    <row r="253" customFormat="false" ht="15" hidden="false" customHeight="false" outlineLevel="0" collapsed="false">
      <c r="A253" s="0" t="s">
        <v>621</v>
      </c>
      <c r="B253" s="0" t="s">
        <v>316</v>
      </c>
      <c r="C253" s="0" t="s">
        <v>374</v>
      </c>
      <c r="D253" s="0" t="s">
        <v>367</v>
      </c>
      <c r="E253" s="15" t="n">
        <v>45488</v>
      </c>
      <c r="F253" s="15" t="n">
        <v>45504</v>
      </c>
      <c r="G253" s="0" t="n">
        <v>21.7</v>
      </c>
      <c r="H253" s="0" t="n">
        <v>16.4</v>
      </c>
      <c r="I253" s="16" t="s">
        <v>198</v>
      </c>
      <c r="J253" s="0" t="n">
        <v>-5.3</v>
      </c>
    </row>
    <row r="254" customFormat="false" ht="15" hidden="false" customHeight="false" outlineLevel="0" collapsed="false">
      <c r="A254" s="0" t="s">
        <v>622</v>
      </c>
      <c r="B254" s="0" t="s">
        <v>217</v>
      </c>
      <c r="C254" s="0" t="s">
        <v>366</v>
      </c>
      <c r="D254" s="0" t="s">
        <v>367</v>
      </c>
      <c r="E254" s="15" t="n">
        <v>45534</v>
      </c>
      <c r="F254" s="15"/>
      <c r="G254" s="0" t="n">
        <v>39.4</v>
      </c>
      <c r="H254" s="0" t="n">
        <v>14.2</v>
      </c>
      <c r="I254" s="16" t="s">
        <v>364</v>
      </c>
      <c r="J254" s="0" t="n">
        <v>-25.2</v>
      </c>
    </row>
    <row r="255" customFormat="false" ht="15" hidden="false" customHeight="false" outlineLevel="0" collapsed="false">
      <c r="A255" s="0" t="s">
        <v>623</v>
      </c>
      <c r="B255" s="0" t="s">
        <v>326</v>
      </c>
      <c r="C255" s="0" t="s">
        <v>366</v>
      </c>
      <c r="D255" s="0" t="s">
        <v>355</v>
      </c>
      <c r="E255" s="15" t="n">
        <v>45024</v>
      </c>
      <c r="F255" s="15"/>
      <c r="G255" s="0" t="n">
        <v>30</v>
      </c>
      <c r="H255" s="0" t="n">
        <v>24.2</v>
      </c>
      <c r="I255" s="16" t="s">
        <v>364</v>
      </c>
      <c r="J255" s="0" t="n">
        <v>-5.8</v>
      </c>
    </row>
    <row r="256" customFormat="false" ht="15" hidden="false" customHeight="false" outlineLevel="0" collapsed="false">
      <c r="A256" s="0" t="s">
        <v>624</v>
      </c>
      <c r="B256" s="0" t="s">
        <v>225</v>
      </c>
      <c r="C256" s="0" t="s">
        <v>369</v>
      </c>
      <c r="D256" s="0" t="s">
        <v>367</v>
      </c>
      <c r="E256" s="15" t="n">
        <v>45870</v>
      </c>
      <c r="F256" s="15" t="n">
        <v>45913</v>
      </c>
      <c r="G256" s="0" t="n">
        <v>29.7</v>
      </c>
      <c r="H256" s="0" t="n">
        <v>37</v>
      </c>
      <c r="I256" s="16" t="s">
        <v>198</v>
      </c>
      <c r="J256" s="0" t="n">
        <v>7.3</v>
      </c>
    </row>
    <row r="257" customFormat="false" ht="15" hidden="false" customHeight="false" outlineLevel="0" collapsed="false">
      <c r="A257" s="0" t="s">
        <v>625</v>
      </c>
      <c r="B257" s="0" t="s">
        <v>281</v>
      </c>
      <c r="C257" s="0" t="s">
        <v>366</v>
      </c>
      <c r="D257" s="0" t="s">
        <v>352</v>
      </c>
      <c r="E257" s="15" t="n">
        <v>45578</v>
      </c>
      <c r="F257" s="15" t="n">
        <v>45585</v>
      </c>
      <c r="G257" s="0" t="n">
        <v>22.2</v>
      </c>
      <c r="H257" s="0" t="n">
        <v>24.7</v>
      </c>
      <c r="I257" s="16" t="s">
        <v>198</v>
      </c>
      <c r="J257" s="0" t="n">
        <v>2.5</v>
      </c>
    </row>
    <row r="258" customFormat="false" ht="15" hidden="false" customHeight="false" outlineLevel="0" collapsed="false">
      <c r="A258" s="0" t="s">
        <v>626</v>
      </c>
      <c r="B258" s="0" t="s">
        <v>200</v>
      </c>
      <c r="C258" s="0" t="s">
        <v>442</v>
      </c>
      <c r="D258" s="0" t="s">
        <v>355</v>
      </c>
      <c r="E258" s="15" t="n">
        <v>45181</v>
      </c>
      <c r="F258" s="15" t="n">
        <v>45225</v>
      </c>
      <c r="G258" s="0" t="n">
        <v>47.9</v>
      </c>
      <c r="H258" s="0" t="n">
        <v>52.7</v>
      </c>
      <c r="I258" s="16" t="s">
        <v>198</v>
      </c>
      <c r="J258" s="0" t="n">
        <v>4.8</v>
      </c>
    </row>
    <row r="259" customFormat="false" ht="15" hidden="false" customHeight="false" outlineLevel="0" collapsed="false">
      <c r="A259" s="0" t="s">
        <v>627</v>
      </c>
      <c r="B259" s="0" t="s">
        <v>313</v>
      </c>
      <c r="C259" s="0" t="s">
        <v>354</v>
      </c>
      <c r="D259" s="0" t="s">
        <v>358</v>
      </c>
      <c r="E259" s="15" t="n">
        <v>45299</v>
      </c>
      <c r="F259" s="15" t="n">
        <v>45305</v>
      </c>
      <c r="G259" s="0" t="n">
        <v>11.1</v>
      </c>
      <c r="H259" s="0" t="n">
        <v>17.1</v>
      </c>
      <c r="I259" s="16" t="s">
        <v>198</v>
      </c>
      <c r="J259" s="0" t="n">
        <v>6</v>
      </c>
    </row>
    <row r="260" customFormat="false" ht="15" hidden="false" customHeight="false" outlineLevel="0" collapsed="false">
      <c r="A260" s="0" t="s">
        <v>628</v>
      </c>
      <c r="B260" s="0" t="s">
        <v>276</v>
      </c>
      <c r="C260" s="0" t="s">
        <v>408</v>
      </c>
      <c r="D260" s="0" t="s">
        <v>367</v>
      </c>
      <c r="E260" s="15" t="n">
        <v>45467</v>
      </c>
      <c r="F260" s="15" t="n">
        <v>45481</v>
      </c>
      <c r="G260" s="0" t="n">
        <v>42.6</v>
      </c>
      <c r="H260" s="0" t="n">
        <v>40.4</v>
      </c>
      <c r="I260" s="16" t="s">
        <v>198</v>
      </c>
      <c r="J260" s="0" t="n">
        <v>-2.2</v>
      </c>
    </row>
    <row r="261" customFormat="false" ht="15" hidden="false" customHeight="false" outlineLevel="0" collapsed="false">
      <c r="A261" s="0" t="s">
        <v>629</v>
      </c>
      <c r="B261" s="0" t="s">
        <v>200</v>
      </c>
      <c r="C261" s="0" t="s">
        <v>382</v>
      </c>
      <c r="D261" s="0" t="s">
        <v>358</v>
      </c>
      <c r="E261" s="15" t="n">
        <v>45167</v>
      </c>
      <c r="F261" s="15" t="n">
        <v>45170</v>
      </c>
      <c r="G261" s="0" t="n">
        <v>65.2</v>
      </c>
      <c r="H261" s="0" t="n">
        <v>46.6</v>
      </c>
      <c r="I261" s="16" t="s">
        <v>198</v>
      </c>
      <c r="J261" s="0" t="n">
        <v>-18.6</v>
      </c>
    </row>
    <row r="262" customFormat="false" ht="15" hidden="false" customHeight="false" outlineLevel="0" collapsed="false">
      <c r="A262" s="0" t="s">
        <v>630</v>
      </c>
      <c r="B262" s="0" t="s">
        <v>225</v>
      </c>
      <c r="C262" s="0" t="s">
        <v>366</v>
      </c>
      <c r="D262" s="0" t="s">
        <v>352</v>
      </c>
      <c r="E262" s="15" t="n">
        <v>45847</v>
      </c>
      <c r="F262" s="15"/>
      <c r="G262" s="0" t="n">
        <v>74.5</v>
      </c>
      <c r="H262" s="0" t="n">
        <v>49.6</v>
      </c>
      <c r="I262" s="16" t="s">
        <v>364</v>
      </c>
      <c r="J262" s="0" t="n">
        <v>-24.9</v>
      </c>
    </row>
    <row r="263" customFormat="false" ht="15" hidden="false" customHeight="false" outlineLevel="0" collapsed="false">
      <c r="A263" s="0" t="s">
        <v>631</v>
      </c>
      <c r="B263" s="0" t="s">
        <v>328</v>
      </c>
      <c r="C263" s="0" t="s">
        <v>374</v>
      </c>
      <c r="D263" s="0" t="s">
        <v>352</v>
      </c>
      <c r="E263" s="15" t="n">
        <v>45689</v>
      </c>
      <c r="F263" s="15" t="n">
        <v>45717</v>
      </c>
      <c r="G263" s="0" t="n">
        <v>76.8</v>
      </c>
      <c r="H263" s="0" t="n">
        <v>63.9</v>
      </c>
      <c r="I263" s="16" t="s">
        <v>198</v>
      </c>
      <c r="J263" s="0" t="n">
        <v>-12.9</v>
      </c>
    </row>
    <row r="264" customFormat="false" ht="15" hidden="false" customHeight="false" outlineLevel="0" collapsed="false">
      <c r="A264" s="0" t="s">
        <v>632</v>
      </c>
      <c r="B264" s="0" t="s">
        <v>245</v>
      </c>
      <c r="C264" s="0" t="s">
        <v>396</v>
      </c>
      <c r="D264" s="0" t="s">
        <v>367</v>
      </c>
      <c r="E264" s="15" t="n">
        <v>44775</v>
      </c>
      <c r="F264" s="15" t="n">
        <v>44801</v>
      </c>
      <c r="G264" s="0" t="n">
        <v>4.3</v>
      </c>
      <c r="H264" s="0" t="n">
        <v>5.2</v>
      </c>
      <c r="I264" s="16" t="s">
        <v>198</v>
      </c>
      <c r="J264" s="0" t="n">
        <v>0.9</v>
      </c>
    </row>
    <row r="265" customFormat="false" ht="15" hidden="false" customHeight="false" outlineLevel="0" collapsed="false">
      <c r="A265" s="0" t="s">
        <v>633</v>
      </c>
      <c r="B265" s="0" t="s">
        <v>285</v>
      </c>
      <c r="C265" s="0" t="s">
        <v>351</v>
      </c>
      <c r="D265" s="0" t="s">
        <v>355</v>
      </c>
      <c r="E265" s="15" t="n">
        <v>45676</v>
      </c>
      <c r="F265" s="15" t="n">
        <v>45690</v>
      </c>
      <c r="G265" s="0" t="n">
        <v>18.1</v>
      </c>
      <c r="H265" s="0" t="n">
        <v>24.5</v>
      </c>
      <c r="I265" s="16" t="s">
        <v>198</v>
      </c>
      <c r="J265" s="0" t="n">
        <v>6.4</v>
      </c>
    </row>
    <row r="266" customFormat="false" ht="15" hidden="false" customHeight="false" outlineLevel="0" collapsed="false">
      <c r="A266" s="0" t="s">
        <v>634</v>
      </c>
      <c r="B266" s="0" t="s">
        <v>321</v>
      </c>
      <c r="C266" s="0" t="s">
        <v>396</v>
      </c>
      <c r="D266" s="0" t="s">
        <v>367</v>
      </c>
      <c r="E266" s="15" t="n">
        <v>45810</v>
      </c>
      <c r="F266" s="15"/>
      <c r="G266" s="0" t="n">
        <v>43.9</v>
      </c>
      <c r="H266" s="0" t="n">
        <v>14.5</v>
      </c>
      <c r="I266" s="16" t="s">
        <v>364</v>
      </c>
      <c r="J266" s="0" t="n">
        <v>-29.4</v>
      </c>
    </row>
    <row r="267" customFormat="false" ht="15" hidden="false" customHeight="false" outlineLevel="0" collapsed="false">
      <c r="A267" s="0" t="s">
        <v>635</v>
      </c>
      <c r="B267" s="0" t="s">
        <v>227</v>
      </c>
      <c r="C267" s="0" t="s">
        <v>387</v>
      </c>
      <c r="D267" s="0" t="s">
        <v>367</v>
      </c>
      <c r="E267" s="15" t="n">
        <v>45987</v>
      </c>
      <c r="F267" s="15" t="n">
        <v>46019</v>
      </c>
      <c r="G267" s="0" t="n">
        <v>43.2</v>
      </c>
      <c r="H267" s="0" t="n">
        <v>53.5</v>
      </c>
      <c r="I267" s="16" t="s">
        <v>198</v>
      </c>
      <c r="J267" s="0" t="n">
        <v>10.3</v>
      </c>
    </row>
    <row r="268" customFormat="false" ht="15" hidden="false" customHeight="false" outlineLevel="0" collapsed="false">
      <c r="A268" s="0" t="s">
        <v>636</v>
      </c>
      <c r="B268" s="0" t="s">
        <v>339</v>
      </c>
      <c r="C268" s="0" t="s">
        <v>354</v>
      </c>
      <c r="D268" s="0" t="s">
        <v>358</v>
      </c>
      <c r="E268" s="15" t="n">
        <v>45170</v>
      </c>
      <c r="F268" s="15" t="n">
        <v>45193</v>
      </c>
      <c r="G268" s="0" t="n">
        <v>29.5</v>
      </c>
      <c r="H268" s="0" t="n">
        <v>31.2</v>
      </c>
      <c r="I268" s="16" t="s">
        <v>198</v>
      </c>
      <c r="J268" s="0" t="n">
        <v>1.7</v>
      </c>
    </row>
    <row r="269" customFormat="false" ht="15" hidden="false" customHeight="false" outlineLevel="0" collapsed="false">
      <c r="A269" s="0" t="s">
        <v>637</v>
      </c>
      <c r="B269" s="0" t="s">
        <v>339</v>
      </c>
      <c r="C269" s="0" t="s">
        <v>408</v>
      </c>
      <c r="D269" s="0" t="s">
        <v>352</v>
      </c>
      <c r="E269" s="15" t="n">
        <v>45221</v>
      </c>
      <c r="F269" s="15" t="n">
        <v>45230</v>
      </c>
      <c r="G269" s="0" t="n">
        <v>26.4</v>
      </c>
      <c r="H269" s="0" t="n">
        <v>22.1</v>
      </c>
      <c r="I269" s="16" t="s">
        <v>198</v>
      </c>
      <c r="J269" s="0" t="n">
        <v>-4.3</v>
      </c>
    </row>
    <row r="270" customFormat="false" ht="15" hidden="false" customHeight="false" outlineLevel="0" collapsed="false">
      <c r="A270" s="0" t="s">
        <v>638</v>
      </c>
      <c r="B270" s="0" t="s">
        <v>291</v>
      </c>
      <c r="C270" s="0" t="s">
        <v>374</v>
      </c>
      <c r="D270" s="0" t="s">
        <v>367</v>
      </c>
      <c r="E270" s="15" t="n">
        <v>45590</v>
      </c>
      <c r="F270" s="15" t="n">
        <v>45615</v>
      </c>
      <c r="G270" s="0" t="n">
        <v>34.6</v>
      </c>
      <c r="H270" s="0" t="n">
        <v>25.5</v>
      </c>
      <c r="I270" s="16" t="s">
        <v>198</v>
      </c>
      <c r="J270" s="0" t="n">
        <v>-9.1</v>
      </c>
    </row>
    <row r="271" customFormat="false" ht="15" hidden="false" customHeight="false" outlineLevel="0" collapsed="false">
      <c r="A271" s="0" t="s">
        <v>639</v>
      </c>
      <c r="B271" s="0" t="s">
        <v>245</v>
      </c>
      <c r="C271" s="0" t="s">
        <v>354</v>
      </c>
      <c r="D271" s="0" t="s">
        <v>352</v>
      </c>
      <c r="E271" s="15" t="n">
        <v>44736</v>
      </c>
      <c r="F271" s="15" t="n">
        <v>44781</v>
      </c>
      <c r="G271" s="0" t="n">
        <v>73.7</v>
      </c>
      <c r="H271" s="0" t="n">
        <v>112.8</v>
      </c>
      <c r="I271" s="16" t="s">
        <v>198</v>
      </c>
      <c r="J271" s="0" t="n">
        <v>39.1</v>
      </c>
    </row>
    <row r="272" customFormat="false" ht="15" hidden="false" customHeight="false" outlineLevel="0" collapsed="false">
      <c r="A272" s="0" t="s">
        <v>640</v>
      </c>
      <c r="B272" s="0" t="s">
        <v>227</v>
      </c>
      <c r="C272" s="0" t="s">
        <v>382</v>
      </c>
      <c r="D272" s="0" t="s">
        <v>358</v>
      </c>
      <c r="E272" s="15" t="n">
        <v>45638</v>
      </c>
      <c r="F272" s="15" t="n">
        <v>45659</v>
      </c>
      <c r="G272" s="0" t="n">
        <v>67.7</v>
      </c>
      <c r="H272" s="0" t="n">
        <v>82.6</v>
      </c>
      <c r="I272" s="16" t="s">
        <v>198</v>
      </c>
      <c r="J272" s="0" t="n">
        <v>14.9</v>
      </c>
    </row>
    <row r="273" customFormat="false" ht="15" hidden="false" customHeight="false" outlineLevel="0" collapsed="false">
      <c r="A273" s="0" t="s">
        <v>641</v>
      </c>
      <c r="B273" s="0" t="s">
        <v>197</v>
      </c>
      <c r="C273" s="0" t="s">
        <v>372</v>
      </c>
      <c r="D273" s="0" t="s">
        <v>367</v>
      </c>
      <c r="E273" s="15" t="n">
        <v>45550</v>
      </c>
      <c r="F273" s="15" t="n">
        <v>45575</v>
      </c>
      <c r="G273" s="0" t="n">
        <v>77.2</v>
      </c>
      <c r="H273" s="0" t="n">
        <v>85.3</v>
      </c>
      <c r="I273" s="16" t="s">
        <v>198</v>
      </c>
      <c r="J273" s="0" t="n">
        <v>8.1</v>
      </c>
    </row>
    <row r="274" customFormat="false" ht="15" hidden="false" customHeight="false" outlineLevel="0" collapsed="false">
      <c r="A274" s="0" t="s">
        <v>642</v>
      </c>
      <c r="B274" s="0" t="s">
        <v>227</v>
      </c>
      <c r="C274" s="0" t="s">
        <v>369</v>
      </c>
      <c r="D274" s="0" t="s">
        <v>352</v>
      </c>
      <c r="E274" s="15" t="n">
        <v>45671</v>
      </c>
      <c r="F274" s="15" t="n">
        <v>45700</v>
      </c>
      <c r="G274" s="0" t="n">
        <v>40.1</v>
      </c>
      <c r="H274" s="0" t="n">
        <v>27.4</v>
      </c>
      <c r="I274" s="16" t="s">
        <v>198</v>
      </c>
      <c r="J274" s="0" t="n">
        <v>-12.7</v>
      </c>
    </row>
    <row r="275" customFormat="false" ht="15" hidden="false" customHeight="false" outlineLevel="0" collapsed="false">
      <c r="A275" s="0" t="s">
        <v>643</v>
      </c>
      <c r="B275" s="0" t="s">
        <v>272</v>
      </c>
      <c r="C275" s="0" t="s">
        <v>387</v>
      </c>
      <c r="D275" s="0" t="s">
        <v>367</v>
      </c>
      <c r="E275" s="15" t="n">
        <v>45051</v>
      </c>
      <c r="F275" s="15" t="n">
        <v>45086</v>
      </c>
      <c r="G275" s="0" t="n">
        <v>24.5</v>
      </c>
      <c r="H275" s="0" t="n">
        <v>33.8</v>
      </c>
      <c r="I275" s="16" t="s">
        <v>198</v>
      </c>
      <c r="J275" s="0" t="n">
        <v>9.3</v>
      </c>
    </row>
    <row r="276" customFormat="false" ht="15" hidden="false" customHeight="false" outlineLevel="0" collapsed="false">
      <c r="A276" s="0" t="s">
        <v>644</v>
      </c>
      <c r="B276" s="0" t="s">
        <v>328</v>
      </c>
      <c r="C276" s="0" t="s">
        <v>442</v>
      </c>
      <c r="D276" s="0" t="s">
        <v>355</v>
      </c>
      <c r="E276" s="15" t="n">
        <v>45779</v>
      </c>
      <c r="F276" s="15" t="n">
        <v>45787</v>
      </c>
      <c r="G276" s="0" t="n">
        <v>22.9</v>
      </c>
      <c r="H276" s="0" t="n">
        <v>26.2</v>
      </c>
      <c r="I276" s="16" t="s">
        <v>198</v>
      </c>
      <c r="J276" s="0" t="n">
        <v>3.3</v>
      </c>
    </row>
    <row r="277" customFormat="false" ht="15" hidden="false" customHeight="false" outlineLevel="0" collapsed="false">
      <c r="A277" s="0" t="s">
        <v>645</v>
      </c>
      <c r="B277" s="0" t="s">
        <v>305</v>
      </c>
      <c r="C277" s="0" t="s">
        <v>351</v>
      </c>
      <c r="D277" s="0" t="s">
        <v>352</v>
      </c>
      <c r="E277" s="15" t="n">
        <v>44742</v>
      </c>
      <c r="F277" s="15" t="n">
        <v>44770</v>
      </c>
      <c r="G277" s="0" t="n">
        <v>10</v>
      </c>
      <c r="H277" s="0" t="n">
        <v>14.3</v>
      </c>
      <c r="I277" s="16" t="s">
        <v>198</v>
      </c>
      <c r="J277" s="0" t="n">
        <v>4.3</v>
      </c>
    </row>
    <row r="278" customFormat="false" ht="15" hidden="false" customHeight="false" outlineLevel="0" collapsed="false">
      <c r="A278" s="0" t="s">
        <v>646</v>
      </c>
      <c r="B278" s="0" t="s">
        <v>274</v>
      </c>
      <c r="C278" s="0" t="s">
        <v>382</v>
      </c>
      <c r="D278" s="0" t="s">
        <v>355</v>
      </c>
      <c r="E278" s="15" t="n">
        <v>44719</v>
      </c>
      <c r="F278" s="15" t="n">
        <v>44742</v>
      </c>
      <c r="G278" s="0" t="n">
        <v>69.3</v>
      </c>
      <c r="H278" s="0" t="n">
        <v>47.6</v>
      </c>
      <c r="I278" s="16" t="s">
        <v>198</v>
      </c>
      <c r="J278" s="0" t="n">
        <v>-21.7</v>
      </c>
    </row>
    <row r="279" customFormat="false" ht="15" hidden="false" customHeight="false" outlineLevel="0" collapsed="false">
      <c r="A279" s="0" t="s">
        <v>647</v>
      </c>
      <c r="B279" s="0" t="s">
        <v>197</v>
      </c>
      <c r="C279" s="0" t="s">
        <v>357</v>
      </c>
      <c r="D279" s="0" t="s">
        <v>367</v>
      </c>
      <c r="E279" s="15" t="n">
        <v>45795</v>
      </c>
      <c r="F279" s="15"/>
      <c r="G279" s="0" t="n">
        <v>47.9</v>
      </c>
      <c r="H279" s="0" t="n">
        <v>15.1</v>
      </c>
      <c r="I279" s="16" t="s">
        <v>364</v>
      </c>
      <c r="J279" s="0" t="n">
        <v>-32.8</v>
      </c>
    </row>
    <row r="280" customFormat="false" ht="15" hidden="false" customHeight="false" outlineLevel="0" collapsed="false">
      <c r="A280" s="0" t="s">
        <v>648</v>
      </c>
      <c r="B280" s="0" t="s">
        <v>241</v>
      </c>
      <c r="C280" s="0" t="s">
        <v>387</v>
      </c>
      <c r="D280" s="0" t="s">
        <v>358</v>
      </c>
      <c r="E280" s="15" t="n">
        <v>45230</v>
      </c>
      <c r="F280" s="15" t="n">
        <v>45244</v>
      </c>
      <c r="G280" s="0" t="n">
        <v>65.5</v>
      </c>
      <c r="H280" s="0" t="n">
        <v>92.1</v>
      </c>
      <c r="I280" s="16" t="s">
        <v>198</v>
      </c>
      <c r="J280" s="0" t="n">
        <v>26.6</v>
      </c>
    </row>
    <row r="281" customFormat="false" ht="15" hidden="false" customHeight="false" outlineLevel="0" collapsed="false">
      <c r="A281" s="0" t="s">
        <v>649</v>
      </c>
      <c r="B281" s="0" t="s">
        <v>200</v>
      </c>
      <c r="C281" s="0" t="s">
        <v>376</v>
      </c>
      <c r="D281" s="0" t="s">
        <v>358</v>
      </c>
      <c r="E281" s="15" t="n">
        <v>45125</v>
      </c>
      <c r="F281" s="15" t="n">
        <v>45136</v>
      </c>
      <c r="G281" s="0" t="n">
        <v>27.2</v>
      </c>
      <c r="H281" s="0" t="n">
        <v>35.5</v>
      </c>
      <c r="I281" s="16" t="s">
        <v>198</v>
      </c>
      <c r="J281" s="0" t="n">
        <v>8.3</v>
      </c>
    </row>
    <row r="282" customFormat="false" ht="15" hidden="false" customHeight="false" outlineLevel="0" collapsed="false">
      <c r="A282" s="0" t="s">
        <v>650</v>
      </c>
      <c r="B282" s="0" t="s">
        <v>219</v>
      </c>
      <c r="C282" s="0" t="s">
        <v>374</v>
      </c>
      <c r="D282" s="0" t="s">
        <v>355</v>
      </c>
      <c r="E282" s="15" t="n">
        <v>45306</v>
      </c>
      <c r="F282" s="15"/>
      <c r="G282" s="0" t="n">
        <v>12.6</v>
      </c>
      <c r="H282" s="0" t="n">
        <v>8.5</v>
      </c>
      <c r="I282" s="16" t="s">
        <v>364</v>
      </c>
      <c r="J282" s="0" t="n">
        <v>-4.1</v>
      </c>
    </row>
    <row r="283" customFormat="false" ht="15" hidden="false" customHeight="false" outlineLevel="0" collapsed="false">
      <c r="A283" s="0" t="s">
        <v>651</v>
      </c>
      <c r="B283" s="0" t="s">
        <v>268</v>
      </c>
      <c r="C283" s="0" t="s">
        <v>382</v>
      </c>
      <c r="D283" s="0" t="s">
        <v>352</v>
      </c>
      <c r="E283" s="15" t="n">
        <v>45971</v>
      </c>
      <c r="F283" s="15" t="n">
        <v>45980</v>
      </c>
      <c r="G283" s="0" t="n">
        <v>21.5</v>
      </c>
      <c r="H283" s="0" t="n">
        <v>28.2</v>
      </c>
      <c r="I283" s="16" t="s">
        <v>198</v>
      </c>
      <c r="J283" s="0" t="n">
        <v>6.7</v>
      </c>
    </row>
    <row r="284" customFormat="false" ht="15" hidden="false" customHeight="false" outlineLevel="0" collapsed="false">
      <c r="A284" s="0" t="s">
        <v>652</v>
      </c>
      <c r="B284" s="0" t="s">
        <v>296</v>
      </c>
      <c r="C284" s="0" t="s">
        <v>372</v>
      </c>
      <c r="D284" s="0" t="s">
        <v>355</v>
      </c>
      <c r="E284" s="15" t="n">
        <v>45245</v>
      </c>
      <c r="F284" s="15" t="n">
        <v>45286</v>
      </c>
      <c r="G284" s="0" t="n">
        <v>23</v>
      </c>
      <c r="H284" s="0" t="n">
        <v>23.3</v>
      </c>
      <c r="I284" s="16" t="s">
        <v>198</v>
      </c>
      <c r="J284" s="0" t="n">
        <v>0.3</v>
      </c>
    </row>
    <row r="285" customFormat="false" ht="15" hidden="false" customHeight="false" outlineLevel="0" collapsed="false">
      <c r="A285" s="0" t="s">
        <v>653</v>
      </c>
      <c r="B285" s="0" t="s">
        <v>221</v>
      </c>
      <c r="C285" s="0" t="s">
        <v>372</v>
      </c>
      <c r="D285" s="0" t="s">
        <v>367</v>
      </c>
      <c r="E285" s="15" t="n">
        <v>44813</v>
      </c>
      <c r="F285" s="15" t="n">
        <v>44831</v>
      </c>
      <c r="G285" s="0" t="n">
        <v>56.2</v>
      </c>
      <c r="H285" s="0" t="n">
        <v>83</v>
      </c>
      <c r="I285" s="16" t="s">
        <v>198</v>
      </c>
      <c r="J285" s="0" t="n">
        <v>26.8</v>
      </c>
    </row>
    <row r="286" customFormat="false" ht="15" hidden="false" customHeight="false" outlineLevel="0" collapsed="false">
      <c r="A286" s="0" t="s">
        <v>654</v>
      </c>
      <c r="B286" s="0" t="s">
        <v>279</v>
      </c>
      <c r="C286" s="0" t="s">
        <v>360</v>
      </c>
      <c r="D286" s="0" t="s">
        <v>358</v>
      </c>
      <c r="E286" s="15" t="n">
        <v>45644</v>
      </c>
      <c r="F286" s="15" t="n">
        <v>45650</v>
      </c>
      <c r="G286" s="0" t="n">
        <v>59</v>
      </c>
      <c r="H286" s="0" t="n">
        <v>62.4</v>
      </c>
      <c r="I286" s="16" t="s">
        <v>198</v>
      </c>
      <c r="J286" s="0" t="n">
        <v>3.4</v>
      </c>
    </row>
    <row r="287" customFormat="false" ht="15" hidden="false" customHeight="false" outlineLevel="0" collapsed="false">
      <c r="A287" s="0" t="s">
        <v>655</v>
      </c>
      <c r="B287" s="0" t="s">
        <v>215</v>
      </c>
      <c r="C287" s="0" t="s">
        <v>442</v>
      </c>
      <c r="D287" s="0" t="s">
        <v>358</v>
      </c>
      <c r="E287" s="15" t="n">
        <v>45179</v>
      </c>
      <c r="F287" s="15" t="n">
        <v>45207</v>
      </c>
      <c r="G287" s="0" t="n">
        <v>66.3</v>
      </c>
      <c r="H287" s="0" t="n">
        <v>72.6</v>
      </c>
      <c r="I287" s="16" t="s">
        <v>198</v>
      </c>
      <c r="J287" s="0" t="n">
        <v>6.3</v>
      </c>
    </row>
    <row r="288" customFormat="false" ht="15" hidden="false" customHeight="false" outlineLevel="0" collapsed="false">
      <c r="A288" s="0" t="s">
        <v>656</v>
      </c>
      <c r="B288" s="0" t="s">
        <v>283</v>
      </c>
      <c r="C288" s="0" t="s">
        <v>363</v>
      </c>
      <c r="D288" s="0" t="s">
        <v>355</v>
      </c>
      <c r="E288" s="15" t="n">
        <v>45615</v>
      </c>
      <c r="F288" s="15" t="n">
        <v>45652</v>
      </c>
      <c r="G288" s="0" t="n">
        <v>68.5</v>
      </c>
      <c r="H288" s="0" t="n">
        <v>95.1</v>
      </c>
      <c r="I288" s="16" t="s">
        <v>198</v>
      </c>
      <c r="J288" s="0" t="n">
        <v>26.6</v>
      </c>
    </row>
    <row r="289" customFormat="false" ht="15" hidden="false" customHeight="false" outlineLevel="0" collapsed="false">
      <c r="A289" s="0" t="s">
        <v>657</v>
      </c>
      <c r="B289" s="0" t="s">
        <v>208</v>
      </c>
      <c r="C289" s="0" t="s">
        <v>354</v>
      </c>
      <c r="D289" s="0" t="s">
        <v>367</v>
      </c>
      <c r="E289" s="15" t="n">
        <v>45725</v>
      </c>
      <c r="F289" s="15" t="n">
        <v>45755</v>
      </c>
      <c r="G289" s="0" t="n">
        <v>3.3</v>
      </c>
      <c r="H289" s="0" t="n">
        <v>5</v>
      </c>
      <c r="I289" s="16" t="s">
        <v>198</v>
      </c>
      <c r="J289" s="0" t="n">
        <v>1.7</v>
      </c>
    </row>
    <row r="290" customFormat="false" ht="15" hidden="false" customHeight="false" outlineLevel="0" collapsed="false">
      <c r="A290" s="0" t="s">
        <v>658</v>
      </c>
      <c r="B290" s="0" t="s">
        <v>308</v>
      </c>
      <c r="C290" s="0" t="s">
        <v>363</v>
      </c>
      <c r="D290" s="0" t="s">
        <v>352</v>
      </c>
      <c r="E290" s="15" t="n">
        <v>44897</v>
      </c>
      <c r="F290" s="15"/>
      <c r="G290" s="0" t="n">
        <v>35.4</v>
      </c>
      <c r="H290" s="0" t="n">
        <v>31.7</v>
      </c>
      <c r="I290" s="16" t="s">
        <v>364</v>
      </c>
      <c r="J290" s="0" t="n">
        <v>-3.7</v>
      </c>
    </row>
    <row r="291" customFormat="false" ht="15" hidden="false" customHeight="false" outlineLevel="0" collapsed="false">
      <c r="A291" s="0" t="s">
        <v>659</v>
      </c>
      <c r="B291" s="0" t="s">
        <v>274</v>
      </c>
      <c r="C291" s="0" t="s">
        <v>442</v>
      </c>
      <c r="D291" s="0" t="s">
        <v>358</v>
      </c>
      <c r="E291" s="15" t="n">
        <v>44751</v>
      </c>
      <c r="F291" s="15"/>
      <c r="G291" s="0" t="n">
        <v>70.4</v>
      </c>
      <c r="H291" s="0" t="n">
        <v>5.9</v>
      </c>
      <c r="I291" s="16" t="s">
        <v>364</v>
      </c>
      <c r="J291" s="0" t="n">
        <v>-64.5</v>
      </c>
    </row>
    <row r="292" customFormat="false" ht="15" hidden="false" customHeight="false" outlineLevel="0" collapsed="false">
      <c r="A292" s="0" t="s">
        <v>660</v>
      </c>
      <c r="B292" s="0" t="s">
        <v>219</v>
      </c>
      <c r="C292" s="0" t="s">
        <v>376</v>
      </c>
      <c r="D292" s="0" t="s">
        <v>352</v>
      </c>
      <c r="E292" s="15" t="n">
        <v>45300</v>
      </c>
      <c r="F292" s="15" t="n">
        <v>45342</v>
      </c>
      <c r="G292" s="0" t="n">
        <v>14.9</v>
      </c>
      <c r="H292" s="0" t="n">
        <v>14.8</v>
      </c>
      <c r="I292" s="16" t="s">
        <v>198</v>
      </c>
      <c r="J292" s="0" t="n">
        <v>-0.1</v>
      </c>
    </row>
    <row r="293" customFormat="false" ht="15" hidden="false" customHeight="false" outlineLevel="0" collapsed="false">
      <c r="A293" s="0" t="s">
        <v>661</v>
      </c>
      <c r="B293" s="0" t="s">
        <v>203</v>
      </c>
      <c r="C293" s="0" t="s">
        <v>354</v>
      </c>
      <c r="D293" s="0" t="s">
        <v>352</v>
      </c>
      <c r="E293" s="15" t="n">
        <v>45592</v>
      </c>
      <c r="F293" s="15" t="n">
        <v>45599</v>
      </c>
      <c r="G293" s="0" t="n">
        <v>2.1</v>
      </c>
      <c r="H293" s="0" t="n">
        <v>2.3</v>
      </c>
      <c r="I293" s="16" t="s">
        <v>198</v>
      </c>
      <c r="J293" s="0" t="n">
        <v>0.2</v>
      </c>
    </row>
    <row r="294" customFormat="false" ht="15" hidden="false" customHeight="false" outlineLevel="0" collapsed="false">
      <c r="A294" s="0" t="s">
        <v>662</v>
      </c>
      <c r="B294" s="0" t="s">
        <v>321</v>
      </c>
      <c r="C294" s="0" t="s">
        <v>382</v>
      </c>
      <c r="D294" s="0" t="s">
        <v>367</v>
      </c>
      <c r="E294" s="15" t="n">
        <v>45748</v>
      </c>
      <c r="F294" s="15" t="n">
        <v>45749</v>
      </c>
      <c r="G294" s="0" t="n">
        <v>56.3</v>
      </c>
      <c r="H294" s="0" t="n">
        <v>79.8</v>
      </c>
      <c r="I294" s="16" t="s">
        <v>198</v>
      </c>
      <c r="J294" s="0" t="n">
        <v>23.5</v>
      </c>
    </row>
    <row r="295" customFormat="false" ht="15" hidden="false" customHeight="false" outlineLevel="0" collapsed="false">
      <c r="A295" s="0" t="s">
        <v>663</v>
      </c>
      <c r="B295" s="0" t="s">
        <v>231</v>
      </c>
      <c r="C295" s="0" t="s">
        <v>408</v>
      </c>
      <c r="D295" s="0" t="s">
        <v>358</v>
      </c>
      <c r="E295" s="15" t="n">
        <v>45719</v>
      </c>
      <c r="F295" s="15" t="n">
        <v>45744</v>
      </c>
      <c r="G295" s="0" t="n">
        <v>9</v>
      </c>
      <c r="H295" s="0" t="n">
        <v>12.7</v>
      </c>
      <c r="I295" s="16" t="s">
        <v>198</v>
      </c>
      <c r="J295" s="0" t="n">
        <v>3.7</v>
      </c>
    </row>
    <row r="296" customFormat="false" ht="15" hidden="false" customHeight="false" outlineLevel="0" collapsed="false">
      <c r="A296" s="0" t="s">
        <v>664</v>
      </c>
      <c r="B296" s="0" t="s">
        <v>291</v>
      </c>
      <c r="C296" s="0" t="s">
        <v>408</v>
      </c>
      <c r="D296" s="0" t="s">
        <v>355</v>
      </c>
      <c r="E296" s="15" t="n">
        <v>45489</v>
      </c>
      <c r="F296" s="15" t="n">
        <v>45498</v>
      </c>
      <c r="G296" s="0" t="n">
        <v>52</v>
      </c>
      <c r="H296" s="0" t="n">
        <v>66.4</v>
      </c>
      <c r="I296" s="16" t="s">
        <v>198</v>
      </c>
      <c r="J296" s="0" t="n">
        <v>14.4</v>
      </c>
    </row>
    <row r="297" customFormat="false" ht="15" hidden="false" customHeight="false" outlineLevel="0" collapsed="false">
      <c r="A297" s="0" t="s">
        <v>665</v>
      </c>
      <c r="B297" s="0" t="s">
        <v>339</v>
      </c>
      <c r="C297" s="0" t="s">
        <v>354</v>
      </c>
      <c r="D297" s="0" t="s">
        <v>367</v>
      </c>
      <c r="E297" s="15" t="n">
        <v>45236</v>
      </c>
      <c r="F297" s="15" t="n">
        <v>45259</v>
      </c>
      <c r="G297" s="0" t="n">
        <v>58.3</v>
      </c>
      <c r="H297" s="0" t="n">
        <v>71.6</v>
      </c>
      <c r="I297" s="16" t="s">
        <v>198</v>
      </c>
      <c r="J297" s="0" t="n">
        <v>13.3</v>
      </c>
    </row>
    <row r="298" customFormat="false" ht="15" hidden="false" customHeight="false" outlineLevel="0" collapsed="false">
      <c r="A298" s="0" t="s">
        <v>666</v>
      </c>
      <c r="B298" s="0" t="s">
        <v>339</v>
      </c>
      <c r="C298" s="0" t="s">
        <v>351</v>
      </c>
      <c r="D298" s="0" t="s">
        <v>355</v>
      </c>
      <c r="E298" s="15" t="n">
        <v>45245</v>
      </c>
      <c r="F298" s="15" t="n">
        <v>45259</v>
      </c>
      <c r="G298" s="0" t="n">
        <v>8.8</v>
      </c>
      <c r="H298" s="0" t="n">
        <v>6.2</v>
      </c>
      <c r="I298" s="16" t="s">
        <v>198</v>
      </c>
      <c r="J298" s="0" t="n">
        <v>-2.6</v>
      </c>
    </row>
    <row r="299" customFormat="false" ht="15" hidden="false" customHeight="false" outlineLevel="0" collapsed="false">
      <c r="A299" s="0" t="s">
        <v>667</v>
      </c>
      <c r="B299" s="0" t="s">
        <v>285</v>
      </c>
      <c r="C299" s="0" t="s">
        <v>376</v>
      </c>
      <c r="D299" s="0" t="s">
        <v>355</v>
      </c>
      <c r="E299" s="15" t="n">
        <v>45753</v>
      </c>
      <c r="F299" s="15" t="n">
        <v>45781</v>
      </c>
      <c r="G299" s="0" t="n">
        <v>26.5</v>
      </c>
      <c r="H299" s="0" t="n">
        <v>19.6</v>
      </c>
      <c r="I299" s="16" t="s">
        <v>198</v>
      </c>
      <c r="J299" s="0" t="n">
        <v>-6.9</v>
      </c>
    </row>
    <row r="300" customFormat="false" ht="15" hidden="false" customHeight="false" outlineLevel="0" collapsed="false">
      <c r="A300" s="0" t="s">
        <v>668</v>
      </c>
      <c r="B300" s="0" t="s">
        <v>260</v>
      </c>
      <c r="C300" s="0" t="s">
        <v>369</v>
      </c>
      <c r="D300" s="0" t="s">
        <v>358</v>
      </c>
      <c r="E300" s="15" t="n">
        <v>45106</v>
      </c>
      <c r="F300" s="15" t="n">
        <v>45145</v>
      </c>
      <c r="G300" s="0" t="n">
        <v>24.2</v>
      </c>
      <c r="H300" s="0" t="n">
        <v>37.3</v>
      </c>
      <c r="I300" s="16" t="s">
        <v>198</v>
      </c>
      <c r="J300" s="0" t="n">
        <v>13.1</v>
      </c>
    </row>
    <row r="301" customFormat="false" ht="15" hidden="false" customHeight="false" outlineLevel="0" collapsed="false">
      <c r="A301" s="0" t="s">
        <v>669</v>
      </c>
      <c r="B301" s="0" t="s">
        <v>251</v>
      </c>
      <c r="C301" s="0" t="s">
        <v>369</v>
      </c>
      <c r="D301" s="0" t="s">
        <v>352</v>
      </c>
      <c r="E301" s="15" t="n">
        <v>45150</v>
      </c>
      <c r="F301" s="15" t="n">
        <v>45163</v>
      </c>
      <c r="G301" s="0" t="n">
        <v>60.3</v>
      </c>
      <c r="H301" s="0" t="n">
        <v>54</v>
      </c>
      <c r="I301" s="16" t="s">
        <v>198</v>
      </c>
      <c r="J301" s="0" t="n">
        <v>-6.3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3" t="s">
        <v>670</v>
      </c>
      <c r="B1" s="3" t="s">
        <v>56</v>
      </c>
      <c r="C1" s="3" t="s">
        <v>671</v>
      </c>
      <c r="D1" s="3" t="s">
        <v>672</v>
      </c>
      <c r="E1" s="3" t="s">
        <v>673</v>
      </c>
      <c r="F1" s="3" t="s">
        <v>674</v>
      </c>
      <c r="G1" s="3" t="s">
        <v>675</v>
      </c>
      <c r="H1" s="3" t="s">
        <v>676</v>
      </c>
      <c r="I1" s="3" t="s">
        <v>677</v>
      </c>
      <c r="J1" s="3" t="s">
        <v>192</v>
      </c>
    </row>
    <row r="2" customFormat="false" ht="15" hidden="false" customHeight="false" outlineLevel="0" collapsed="false">
      <c r="A2" s="0" t="s">
        <v>678</v>
      </c>
      <c r="B2" s="0" t="s">
        <v>145</v>
      </c>
      <c r="C2" s="15" t="n">
        <v>45717</v>
      </c>
      <c r="D2" s="0" t="n">
        <v>208043.77</v>
      </c>
      <c r="E2" s="0" t="n">
        <v>37447.88</v>
      </c>
      <c r="F2" s="16" t="s">
        <v>679</v>
      </c>
      <c r="G2" s="15" t="n">
        <v>45732</v>
      </c>
      <c r="H2" s="15"/>
      <c r="I2" s="0" t="n">
        <v>245491.65</v>
      </c>
      <c r="J2" s="17" t="b">
        <f aca="false">TRUE()</f>
        <v>1</v>
      </c>
    </row>
    <row r="3" customFormat="false" ht="15" hidden="false" customHeight="false" outlineLevel="0" collapsed="false">
      <c r="A3" s="0" t="s">
        <v>680</v>
      </c>
      <c r="B3" s="0" t="s">
        <v>79</v>
      </c>
      <c r="C3" s="15" t="n">
        <v>44951</v>
      </c>
      <c r="D3" s="0" t="n">
        <v>748461.03</v>
      </c>
      <c r="E3" s="0" t="n">
        <v>134722.99</v>
      </c>
      <c r="F3" s="16" t="s">
        <v>681</v>
      </c>
      <c r="G3" s="15" t="n">
        <v>44981</v>
      </c>
      <c r="H3" s="15" t="n">
        <v>44964</v>
      </c>
      <c r="I3" s="0" t="n">
        <v>883184.02</v>
      </c>
      <c r="J3" s="17" t="b">
        <f aca="false">FALSE()</f>
        <v>0</v>
      </c>
    </row>
    <row r="4" customFormat="false" ht="15" hidden="false" customHeight="false" outlineLevel="0" collapsed="false">
      <c r="A4" s="0" t="s">
        <v>682</v>
      </c>
      <c r="B4" s="0" t="s">
        <v>156</v>
      </c>
      <c r="C4" s="15" t="n">
        <v>45788</v>
      </c>
      <c r="D4" s="0" t="n">
        <v>446157.85</v>
      </c>
      <c r="E4" s="0" t="n">
        <v>80308.41</v>
      </c>
      <c r="F4" s="16" t="s">
        <v>681</v>
      </c>
      <c r="G4" s="15" t="n">
        <v>45818</v>
      </c>
      <c r="H4" s="15" t="n">
        <v>45813</v>
      </c>
      <c r="I4" s="0" t="n">
        <v>526466.26</v>
      </c>
      <c r="J4" s="17" t="b">
        <f aca="false">FALSE()</f>
        <v>0</v>
      </c>
    </row>
    <row r="5" customFormat="false" ht="15" hidden="false" customHeight="false" outlineLevel="0" collapsed="false">
      <c r="A5" s="0" t="s">
        <v>683</v>
      </c>
      <c r="B5" s="0" t="s">
        <v>182</v>
      </c>
      <c r="C5" s="15" t="n">
        <v>45076</v>
      </c>
      <c r="D5" s="0" t="n">
        <v>478143.53</v>
      </c>
      <c r="E5" s="0" t="n">
        <v>86065.84</v>
      </c>
      <c r="F5" s="16" t="s">
        <v>681</v>
      </c>
      <c r="G5" s="15" t="n">
        <v>45091</v>
      </c>
      <c r="H5" s="15" t="n">
        <v>45095</v>
      </c>
      <c r="I5" s="0" t="n">
        <v>564209.37</v>
      </c>
      <c r="J5" s="17" t="b">
        <f aca="false">FALSE()</f>
        <v>0</v>
      </c>
    </row>
    <row r="6" customFormat="false" ht="15" hidden="false" customHeight="false" outlineLevel="0" collapsed="false">
      <c r="A6" s="0" t="s">
        <v>684</v>
      </c>
      <c r="B6" s="0" t="s">
        <v>71</v>
      </c>
      <c r="C6" s="15" t="n">
        <v>45050</v>
      </c>
      <c r="D6" s="0" t="n">
        <v>415156.27</v>
      </c>
      <c r="E6" s="0" t="n">
        <v>74728.13</v>
      </c>
      <c r="F6" s="16" t="s">
        <v>681</v>
      </c>
      <c r="G6" s="15" t="n">
        <v>45080</v>
      </c>
      <c r="H6" s="15"/>
      <c r="I6" s="0" t="n">
        <v>489884.4</v>
      </c>
      <c r="J6" s="17" t="b">
        <f aca="false">FALSE()</f>
        <v>0</v>
      </c>
    </row>
    <row r="7" customFormat="false" ht="15" hidden="false" customHeight="false" outlineLevel="0" collapsed="false">
      <c r="A7" s="0" t="s">
        <v>685</v>
      </c>
      <c r="B7" s="0" t="s">
        <v>148</v>
      </c>
      <c r="C7" s="15" t="n">
        <v>45777</v>
      </c>
      <c r="D7" s="0" t="n">
        <v>567412.3</v>
      </c>
      <c r="E7" s="0" t="n">
        <v>102134.21</v>
      </c>
      <c r="F7" s="16" t="s">
        <v>681</v>
      </c>
      <c r="G7" s="15" t="n">
        <v>45807</v>
      </c>
      <c r="H7" s="15" t="n">
        <v>45800</v>
      </c>
      <c r="I7" s="0" t="n">
        <v>669546.51</v>
      </c>
      <c r="J7" s="17" t="b">
        <f aca="false">FALSE()</f>
        <v>0</v>
      </c>
    </row>
    <row r="8" customFormat="false" ht="15" hidden="false" customHeight="false" outlineLevel="0" collapsed="false">
      <c r="A8" s="0" t="s">
        <v>686</v>
      </c>
      <c r="B8" s="0" t="s">
        <v>152</v>
      </c>
      <c r="C8" s="15" t="n">
        <v>45239</v>
      </c>
      <c r="D8" s="0" t="n">
        <v>85205.72</v>
      </c>
      <c r="E8" s="0" t="n">
        <v>15337.03</v>
      </c>
      <c r="F8" s="16" t="s">
        <v>681</v>
      </c>
      <c r="G8" s="15" t="n">
        <v>45269</v>
      </c>
      <c r="H8" s="15" t="n">
        <v>45250</v>
      </c>
      <c r="I8" s="0" t="n">
        <v>100542.75</v>
      </c>
      <c r="J8" s="17" t="b">
        <f aca="false">FALSE()</f>
        <v>0</v>
      </c>
    </row>
    <row r="9" customFormat="false" ht="15" hidden="false" customHeight="false" outlineLevel="0" collapsed="false">
      <c r="A9" s="0" t="s">
        <v>687</v>
      </c>
      <c r="B9" s="0" t="s">
        <v>106</v>
      </c>
      <c r="C9" s="15" t="n">
        <v>45245</v>
      </c>
      <c r="D9" s="0" t="n">
        <v>274865.23</v>
      </c>
      <c r="E9" s="0" t="n">
        <v>49475.74</v>
      </c>
      <c r="F9" s="16" t="s">
        <v>679</v>
      </c>
      <c r="G9" s="15" t="n">
        <v>45290</v>
      </c>
      <c r="H9" s="15"/>
      <c r="I9" s="0" t="n">
        <v>324340.97</v>
      </c>
      <c r="J9" s="17" t="b">
        <f aca="false">TRUE()</f>
        <v>1</v>
      </c>
    </row>
    <row r="10" customFormat="false" ht="15" hidden="false" customHeight="false" outlineLevel="0" collapsed="false">
      <c r="A10" s="0" t="s">
        <v>688</v>
      </c>
      <c r="B10" s="0" t="s">
        <v>180</v>
      </c>
      <c r="C10" s="15" t="n">
        <v>45062</v>
      </c>
      <c r="D10" s="0" t="n">
        <v>564967.19</v>
      </c>
      <c r="E10" s="0" t="n">
        <v>101694.09</v>
      </c>
      <c r="F10" s="16" t="s">
        <v>689</v>
      </c>
      <c r="G10" s="15" t="n">
        <v>45092</v>
      </c>
      <c r="H10" s="15"/>
      <c r="I10" s="0" t="n">
        <v>666661.28</v>
      </c>
      <c r="J10" s="17" t="b">
        <f aca="false">TRUE()</f>
        <v>1</v>
      </c>
    </row>
    <row r="11" customFormat="false" ht="15" hidden="false" customHeight="false" outlineLevel="0" collapsed="false">
      <c r="A11" s="0" t="s">
        <v>690</v>
      </c>
      <c r="B11" s="0" t="s">
        <v>110</v>
      </c>
      <c r="C11" s="15" t="n">
        <v>45045</v>
      </c>
      <c r="D11" s="0" t="n">
        <v>250000</v>
      </c>
      <c r="E11" s="0" t="n">
        <v>15704.28</v>
      </c>
      <c r="F11" s="16" t="s">
        <v>681</v>
      </c>
      <c r="G11" s="15" t="n">
        <v>45060</v>
      </c>
      <c r="H11" s="15" t="n">
        <v>45056</v>
      </c>
      <c r="I11" s="0" t="n">
        <v>265704.28</v>
      </c>
      <c r="J11" s="17" t="b">
        <f aca="false">FALSE()</f>
        <v>0</v>
      </c>
    </row>
    <row r="12" customFormat="false" ht="15" hidden="false" customHeight="false" outlineLevel="0" collapsed="false">
      <c r="A12" s="0" t="s">
        <v>691</v>
      </c>
      <c r="B12" s="0" t="s">
        <v>162</v>
      </c>
      <c r="C12" s="15" t="n">
        <v>45039</v>
      </c>
      <c r="D12" s="0" t="n">
        <v>539542.07</v>
      </c>
      <c r="E12" s="0" t="n">
        <v>97117.57</v>
      </c>
      <c r="F12" s="16" t="s">
        <v>679</v>
      </c>
      <c r="G12" s="15" t="n">
        <v>45069</v>
      </c>
      <c r="H12" s="15"/>
      <c r="I12" s="0" t="n">
        <v>636659.64</v>
      </c>
      <c r="J12" s="17" t="b">
        <f aca="false">TRUE()</f>
        <v>1</v>
      </c>
    </row>
    <row r="13" customFormat="false" ht="15" hidden="false" customHeight="false" outlineLevel="0" collapsed="false">
      <c r="A13" s="0" t="s">
        <v>692</v>
      </c>
      <c r="B13" s="0" t="s">
        <v>100</v>
      </c>
      <c r="C13" s="15" t="n">
        <v>45171</v>
      </c>
      <c r="D13" s="0" t="n">
        <v>572162.47</v>
      </c>
      <c r="E13" s="0" t="n">
        <v>102989.24</v>
      </c>
      <c r="F13" s="16" t="s">
        <v>689</v>
      </c>
      <c r="G13" s="15" t="n">
        <v>45186</v>
      </c>
      <c r="H13" s="15"/>
      <c r="I13" s="0" t="n">
        <v>675151.71</v>
      </c>
      <c r="J13" s="17" t="b">
        <f aca="false">TRUE()</f>
        <v>1</v>
      </c>
    </row>
    <row r="14" customFormat="false" ht="15" hidden="false" customHeight="false" outlineLevel="0" collapsed="false">
      <c r="A14" s="0" t="s">
        <v>693</v>
      </c>
      <c r="B14" s="0" t="s">
        <v>98</v>
      </c>
      <c r="C14" s="15" t="n">
        <v>45943</v>
      </c>
      <c r="D14" s="0" t="n">
        <v>427944.18</v>
      </c>
      <c r="E14" s="0" t="n">
        <v>77029.95</v>
      </c>
      <c r="F14" s="16" t="s">
        <v>689</v>
      </c>
      <c r="G14" s="15" t="n">
        <v>45973</v>
      </c>
      <c r="H14" s="15"/>
      <c r="I14" s="0" t="n">
        <v>504974.13</v>
      </c>
      <c r="J14" s="17" t="b">
        <f aca="false">TRUE()</f>
        <v>1</v>
      </c>
    </row>
    <row r="15" customFormat="false" ht="15" hidden="false" customHeight="false" outlineLevel="0" collapsed="false">
      <c r="A15" s="0" t="s">
        <v>694</v>
      </c>
      <c r="B15" s="0" t="s">
        <v>176</v>
      </c>
      <c r="C15" s="15" t="n">
        <v>45457</v>
      </c>
      <c r="D15" s="0" t="n">
        <v>310058.16</v>
      </c>
      <c r="E15" s="0" t="n">
        <v>55810.47</v>
      </c>
      <c r="F15" s="16" t="s">
        <v>689</v>
      </c>
      <c r="G15" s="15" t="n">
        <v>45472</v>
      </c>
      <c r="H15" s="15"/>
      <c r="I15" s="0" t="n">
        <v>365868.63</v>
      </c>
      <c r="J15" s="17" t="b">
        <f aca="false">TRUE()</f>
        <v>1</v>
      </c>
    </row>
    <row r="16" customFormat="false" ht="15" hidden="false" customHeight="false" outlineLevel="0" collapsed="false">
      <c r="A16" s="0" t="s">
        <v>695</v>
      </c>
      <c r="B16" s="0" t="s">
        <v>115</v>
      </c>
      <c r="C16" s="15" t="n">
        <v>45168</v>
      </c>
      <c r="D16" s="0" t="n">
        <v>281308.6</v>
      </c>
      <c r="E16" s="0" t="n">
        <v>50635.55</v>
      </c>
      <c r="F16" s="16" t="s">
        <v>681</v>
      </c>
      <c r="G16" s="15" t="n">
        <v>45183</v>
      </c>
      <c r="H16" s="15" t="n">
        <v>45177</v>
      </c>
      <c r="I16" s="0" t="n">
        <v>331944.15</v>
      </c>
      <c r="J16" s="17" t="b">
        <f aca="false">FALSE()</f>
        <v>0</v>
      </c>
    </row>
    <row r="17" customFormat="false" ht="15" hidden="false" customHeight="false" outlineLevel="0" collapsed="false">
      <c r="A17" s="0" t="s">
        <v>696</v>
      </c>
      <c r="B17" s="0" t="s">
        <v>79</v>
      </c>
      <c r="C17" s="15" t="n">
        <v>45465</v>
      </c>
      <c r="D17" s="0" t="n">
        <v>780539.46</v>
      </c>
      <c r="E17" s="0" t="n">
        <v>140497.1</v>
      </c>
      <c r="F17" s="16" t="s">
        <v>679</v>
      </c>
      <c r="G17" s="15" t="n">
        <v>45510</v>
      </c>
      <c r="H17" s="15"/>
      <c r="I17" s="0" t="n">
        <v>921036.56</v>
      </c>
      <c r="J17" s="17" t="b">
        <f aca="false">TRUE()</f>
        <v>1</v>
      </c>
    </row>
    <row r="18" customFormat="false" ht="15" hidden="false" customHeight="false" outlineLevel="0" collapsed="false">
      <c r="A18" s="0" t="s">
        <v>697</v>
      </c>
      <c r="B18" s="0" t="s">
        <v>145</v>
      </c>
      <c r="C18" s="15" t="n">
        <v>45859</v>
      </c>
      <c r="D18" s="0" t="n">
        <v>300896.64</v>
      </c>
      <c r="E18" s="0" t="n">
        <v>54161.4</v>
      </c>
      <c r="F18" s="16" t="s">
        <v>681</v>
      </c>
      <c r="G18" s="15" t="n">
        <v>45904</v>
      </c>
      <c r="H18" s="15" t="n">
        <v>45896</v>
      </c>
      <c r="I18" s="0" t="n">
        <v>355058.04</v>
      </c>
      <c r="J18" s="17" t="b">
        <f aca="false">FALSE()</f>
        <v>0</v>
      </c>
    </row>
    <row r="19" customFormat="false" ht="15" hidden="false" customHeight="false" outlineLevel="0" collapsed="false">
      <c r="A19" s="0" t="s">
        <v>698</v>
      </c>
      <c r="B19" s="0" t="s">
        <v>98</v>
      </c>
      <c r="C19" s="15" t="n">
        <v>45680</v>
      </c>
      <c r="D19" s="0" t="n">
        <v>218990.54</v>
      </c>
      <c r="E19" s="0" t="n">
        <v>39418.3</v>
      </c>
      <c r="F19" s="16" t="s">
        <v>681</v>
      </c>
      <c r="G19" s="15" t="n">
        <v>45695</v>
      </c>
      <c r="H19" s="15" t="n">
        <v>45687</v>
      </c>
      <c r="I19" s="0" t="n">
        <v>258408.84</v>
      </c>
      <c r="J19" s="17" t="b">
        <f aca="false">FALSE()</f>
        <v>0</v>
      </c>
    </row>
    <row r="20" customFormat="false" ht="15" hidden="false" customHeight="false" outlineLevel="0" collapsed="false">
      <c r="A20" s="0" t="s">
        <v>699</v>
      </c>
      <c r="B20" s="0" t="s">
        <v>170</v>
      </c>
      <c r="C20" s="15" t="n">
        <v>45163</v>
      </c>
      <c r="D20" s="0" t="n">
        <v>597808.37</v>
      </c>
      <c r="E20" s="0" t="n">
        <v>107605.51</v>
      </c>
      <c r="F20" s="16" t="s">
        <v>681</v>
      </c>
      <c r="G20" s="15" t="n">
        <v>45178</v>
      </c>
      <c r="H20" s="15" t="n">
        <v>45161</v>
      </c>
      <c r="I20" s="0" t="n">
        <v>705413.88</v>
      </c>
      <c r="J20" s="17" t="b">
        <f aca="false">FALSE()</f>
        <v>0</v>
      </c>
    </row>
    <row r="21" customFormat="false" ht="15" hidden="false" customHeight="false" outlineLevel="0" collapsed="false">
      <c r="A21" s="0" t="s">
        <v>700</v>
      </c>
      <c r="B21" s="0" t="s">
        <v>63</v>
      </c>
      <c r="C21" s="15" t="n">
        <v>45427</v>
      </c>
      <c r="D21" s="0" t="n">
        <v>387976.38</v>
      </c>
      <c r="E21" s="0" t="n">
        <v>69835.75</v>
      </c>
      <c r="F21" s="16" t="s">
        <v>681</v>
      </c>
      <c r="G21" s="15" t="n">
        <v>45442</v>
      </c>
      <c r="H21" s="15" t="n">
        <v>45448</v>
      </c>
      <c r="I21" s="0" t="n">
        <v>457812.13</v>
      </c>
      <c r="J21" s="17" t="b">
        <f aca="false">FALSE()</f>
        <v>0</v>
      </c>
    </row>
    <row r="22" customFormat="false" ht="15" hidden="false" customHeight="false" outlineLevel="0" collapsed="false">
      <c r="A22" s="0" t="s">
        <v>701</v>
      </c>
      <c r="B22" s="0" t="s">
        <v>100</v>
      </c>
      <c r="C22" s="15" t="n">
        <v>44999</v>
      </c>
      <c r="D22" s="0" t="n">
        <v>646430.08</v>
      </c>
      <c r="E22" s="0" t="n">
        <v>116357.41</v>
      </c>
      <c r="F22" s="16" t="s">
        <v>689</v>
      </c>
      <c r="G22" s="15" t="n">
        <v>45044</v>
      </c>
      <c r="H22" s="15"/>
      <c r="I22" s="0" t="n">
        <v>762787.49</v>
      </c>
      <c r="J22" s="17" t="b">
        <f aca="false">TRUE()</f>
        <v>1</v>
      </c>
    </row>
    <row r="23" customFormat="false" ht="15" hidden="false" customHeight="false" outlineLevel="0" collapsed="false">
      <c r="A23" s="0" t="s">
        <v>702</v>
      </c>
      <c r="B23" s="0" t="s">
        <v>166</v>
      </c>
      <c r="C23" s="15" t="n">
        <v>45785</v>
      </c>
      <c r="D23" s="0" t="n">
        <v>271005.57</v>
      </c>
      <c r="E23" s="0" t="n">
        <v>48781</v>
      </c>
      <c r="F23" s="16" t="s">
        <v>681</v>
      </c>
      <c r="G23" s="15" t="n">
        <v>45800</v>
      </c>
      <c r="H23" s="15" t="n">
        <v>45787</v>
      </c>
      <c r="I23" s="0" t="n">
        <v>319786.57</v>
      </c>
      <c r="J23" s="17" t="b">
        <f aca="false">FALSE()</f>
        <v>0</v>
      </c>
    </row>
    <row r="24" customFormat="false" ht="15" hidden="false" customHeight="false" outlineLevel="0" collapsed="false">
      <c r="A24" s="0" t="s">
        <v>703</v>
      </c>
      <c r="B24" s="0" t="s">
        <v>121</v>
      </c>
      <c r="C24" s="15" t="n">
        <v>45482</v>
      </c>
      <c r="D24" s="0" t="n">
        <v>465798.05</v>
      </c>
      <c r="E24" s="0" t="n">
        <v>83843.65</v>
      </c>
      <c r="F24" s="16" t="s">
        <v>681</v>
      </c>
      <c r="G24" s="15" t="n">
        <v>45497</v>
      </c>
      <c r="H24" s="15" t="n">
        <v>45486</v>
      </c>
      <c r="I24" s="0" t="n">
        <v>549641.7</v>
      </c>
      <c r="J24" s="17" t="b">
        <f aca="false">FALSE()</f>
        <v>0</v>
      </c>
    </row>
    <row r="25" customFormat="false" ht="15" hidden="false" customHeight="false" outlineLevel="0" collapsed="false">
      <c r="A25" s="0" t="s">
        <v>704</v>
      </c>
      <c r="B25" s="0" t="s">
        <v>75</v>
      </c>
      <c r="C25" s="15" t="n">
        <v>45294</v>
      </c>
      <c r="D25" s="0" t="n">
        <v>647383.66</v>
      </c>
      <c r="E25" s="0" t="n">
        <v>116529.06</v>
      </c>
      <c r="F25" s="16" t="s">
        <v>705</v>
      </c>
      <c r="G25" s="15" t="n">
        <v>45309</v>
      </c>
      <c r="H25" s="15" t="n">
        <v>45302</v>
      </c>
      <c r="I25" s="0" t="n">
        <v>763912.72</v>
      </c>
      <c r="J25" s="17" t="b">
        <f aca="false">TRUE()</f>
        <v>1</v>
      </c>
    </row>
    <row r="26" customFormat="false" ht="15" hidden="false" customHeight="false" outlineLevel="0" collapsed="false">
      <c r="A26" s="0" t="s">
        <v>706</v>
      </c>
      <c r="B26" s="0" t="s">
        <v>79</v>
      </c>
      <c r="C26" s="15" t="n">
        <v>45879</v>
      </c>
      <c r="D26" s="0" t="n">
        <v>623351.43</v>
      </c>
      <c r="E26" s="0" t="n">
        <v>112203.26</v>
      </c>
      <c r="F26" s="16" t="s">
        <v>681</v>
      </c>
      <c r="G26" s="15" t="n">
        <v>45909</v>
      </c>
      <c r="H26" s="15" t="n">
        <v>45917</v>
      </c>
      <c r="I26" s="0" t="n">
        <v>735554.69</v>
      </c>
      <c r="J26" s="17" t="b">
        <f aca="false">FALSE()</f>
        <v>0</v>
      </c>
    </row>
    <row r="27" customFormat="false" ht="15" hidden="false" customHeight="false" outlineLevel="0" collapsed="false">
      <c r="A27" s="0" t="s">
        <v>707</v>
      </c>
      <c r="B27" s="0" t="s">
        <v>154</v>
      </c>
      <c r="C27" s="15" t="n">
        <v>45862</v>
      </c>
      <c r="D27" s="0" t="n">
        <v>307757.1</v>
      </c>
      <c r="E27" s="0" t="n">
        <v>55396.28</v>
      </c>
      <c r="F27" s="16" t="s">
        <v>681</v>
      </c>
      <c r="G27" s="15" t="n">
        <v>45473</v>
      </c>
      <c r="H27" s="15" t="n">
        <v>45862</v>
      </c>
      <c r="I27" s="0" t="n">
        <v>363153.38</v>
      </c>
      <c r="J27" s="17" t="b">
        <f aca="false">FALSE()</f>
        <v>0</v>
      </c>
    </row>
    <row r="28" customFormat="false" ht="15" hidden="false" customHeight="false" outlineLevel="0" collapsed="false">
      <c r="A28" s="0" t="s">
        <v>708</v>
      </c>
      <c r="B28" s="0" t="s">
        <v>119</v>
      </c>
      <c r="C28" s="15" t="n">
        <v>45423</v>
      </c>
      <c r="D28" s="0" t="n">
        <v>307253.43</v>
      </c>
      <c r="E28" s="0" t="n">
        <v>55305.62</v>
      </c>
      <c r="F28" s="16" t="s">
        <v>705</v>
      </c>
      <c r="G28" s="15" t="n">
        <v>45453</v>
      </c>
      <c r="H28" s="15" t="n">
        <v>45452</v>
      </c>
      <c r="I28" s="0" t="n">
        <v>362559.05</v>
      </c>
      <c r="J28" s="17" t="b">
        <f aca="false">TRUE()</f>
        <v>1</v>
      </c>
    </row>
    <row r="29" customFormat="false" ht="15" hidden="false" customHeight="false" outlineLevel="0" collapsed="false">
      <c r="A29" s="0" t="s">
        <v>709</v>
      </c>
      <c r="B29" s="0" t="s">
        <v>176</v>
      </c>
      <c r="C29" s="15" t="n">
        <v>45429</v>
      </c>
      <c r="D29" s="0" t="n">
        <v>24974.75</v>
      </c>
      <c r="E29" s="0" t="n">
        <v>4495.45</v>
      </c>
      <c r="F29" s="16" t="s">
        <v>681</v>
      </c>
      <c r="G29" s="15" t="n">
        <v>45444</v>
      </c>
      <c r="H29" s="15" t="n">
        <v>45447</v>
      </c>
      <c r="I29" s="0" t="n">
        <v>29470.2</v>
      </c>
      <c r="J29" s="17" t="b">
        <f aca="false">FALSE()</f>
        <v>0</v>
      </c>
    </row>
    <row r="30" customFormat="false" ht="15" hidden="false" customHeight="false" outlineLevel="0" collapsed="false">
      <c r="A30" s="0" t="s">
        <v>710</v>
      </c>
      <c r="B30" s="0" t="s">
        <v>152</v>
      </c>
      <c r="C30" s="15" t="n">
        <v>45636</v>
      </c>
      <c r="D30" s="0" t="n">
        <v>674867.73</v>
      </c>
      <c r="E30" s="0" t="n">
        <v>121476.19</v>
      </c>
      <c r="F30" s="16" t="s">
        <v>705</v>
      </c>
      <c r="G30" s="15" t="n">
        <v>45681</v>
      </c>
      <c r="H30" s="15" t="n">
        <v>45676</v>
      </c>
      <c r="I30" s="0" t="n">
        <v>796343.92</v>
      </c>
      <c r="J30" s="17" t="b">
        <f aca="false">TRUE()</f>
        <v>1</v>
      </c>
    </row>
    <row r="31" customFormat="false" ht="15" hidden="false" customHeight="false" outlineLevel="0" collapsed="false">
      <c r="A31" s="0" t="s">
        <v>711</v>
      </c>
      <c r="B31" s="0" t="s">
        <v>63</v>
      </c>
      <c r="C31" s="15" t="n">
        <v>45697</v>
      </c>
      <c r="D31" s="0" t="n">
        <v>587227.73</v>
      </c>
      <c r="E31" s="0" t="n">
        <v>105700.99</v>
      </c>
      <c r="F31" s="16" t="s">
        <v>681</v>
      </c>
      <c r="G31" s="15" t="n">
        <v>45742</v>
      </c>
      <c r="H31" s="15" t="n">
        <v>45736</v>
      </c>
      <c r="I31" s="0" t="n">
        <v>692928.72</v>
      </c>
      <c r="J31" s="17" t="b">
        <f aca="false">FALSE()</f>
        <v>0</v>
      </c>
    </row>
    <row r="32" customFormat="false" ht="15" hidden="false" customHeight="false" outlineLevel="0" collapsed="false">
      <c r="A32" s="0" t="s">
        <v>712</v>
      </c>
      <c r="B32" s="0" t="s">
        <v>110</v>
      </c>
      <c r="C32" s="15" t="n">
        <v>45786</v>
      </c>
      <c r="D32" s="0" t="n">
        <v>769724.35</v>
      </c>
      <c r="E32" s="0" t="n">
        <v>138550.38</v>
      </c>
      <c r="F32" s="16" t="s">
        <v>705</v>
      </c>
      <c r="G32" s="15" t="n">
        <v>45816</v>
      </c>
      <c r="H32" s="15" t="n">
        <v>45817</v>
      </c>
      <c r="I32" s="0" t="n">
        <v>908274.73</v>
      </c>
      <c r="J32" s="17" t="b">
        <f aca="false">TRUE()</f>
        <v>1</v>
      </c>
    </row>
    <row r="33" customFormat="false" ht="15" hidden="false" customHeight="false" outlineLevel="0" collapsed="false">
      <c r="A33" s="0" t="s">
        <v>713</v>
      </c>
      <c r="B33" s="0" t="s">
        <v>174</v>
      </c>
      <c r="C33" s="15" t="n">
        <v>45500</v>
      </c>
      <c r="D33" s="0" t="n">
        <v>54242.21</v>
      </c>
      <c r="E33" s="0" t="n">
        <v>9763.6</v>
      </c>
      <c r="F33" s="16" t="s">
        <v>681</v>
      </c>
      <c r="G33" s="15" t="n">
        <v>45515</v>
      </c>
      <c r="H33" s="15" t="n">
        <v>45498</v>
      </c>
      <c r="I33" s="0" t="n">
        <v>64005.81</v>
      </c>
      <c r="J33" s="17" t="b">
        <f aca="false">FALSE()</f>
        <v>0</v>
      </c>
    </row>
    <row r="34" customFormat="false" ht="15" hidden="false" customHeight="false" outlineLevel="0" collapsed="false">
      <c r="A34" s="0" t="s">
        <v>714</v>
      </c>
      <c r="B34" s="0" t="s">
        <v>150</v>
      </c>
      <c r="C34" s="15" t="n">
        <v>45772</v>
      </c>
      <c r="D34" s="0" t="n">
        <v>718550.79</v>
      </c>
      <c r="E34" s="0" t="n">
        <v>129339.14</v>
      </c>
      <c r="F34" s="16" t="s">
        <v>681</v>
      </c>
      <c r="G34" s="15" t="n">
        <v>45817</v>
      </c>
      <c r="H34" s="15" t="n">
        <v>45804</v>
      </c>
      <c r="I34" s="0" t="n">
        <v>847889.93</v>
      </c>
      <c r="J34" s="17" t="b">
        <f aca="false">FALSE()</f>
        <v>0</v>
      </c>
    </row>
    <row r="35" customFormat="false" ht="15" hidden="false" customHeight="false" outlineLevel="0" collapsed="false">
      <c r="A35" s="0" t="s">
        <v>715</v>
      </c>
      <c r="B35" s="0" t="s">
        <v>82</v>
      </c>
      <c r="C35" s="15" t="n">
        <v>45122</v>
      </c>
      <c r="D35" s="0" t="n">
        <v>124140.8</v>
      </c>
      <c r="E35" s="0" t="n">
        <v>22345.34</v>
      </c>
      <c r="F35" s="16" t="s">
        <v>689</v>
      </c>
      <c r="G35" s="15" t="n">
        <v>45167</v>
      </c>
      <c r="H35" s="15"/>
      <c r="I35" s="0" t="n">
        <v>146486.14</v>
      </c>
      <c r="J35" s="17" t="b">
        <f aca="false">TRUE()</f>
        <v>1</v>
      </c>
    </row>
    <row r="36" customFormat="false" ht="15" hidden="false" customHeight="false" outlineLevel="0" collapsed="false">
      <c r="A36" s="0" t="s">
        <v>716</v>
      </c>
      <c r="B36" s="0" t="s">
        <v>79</v>
      </c>
      <c r="C36" s="15" t="n">
        <v>45054</v>
      </c>
      <c r="D36" s="0" t="n">
        <v>536706.26</v>
      </c>
      <c r="E36" s="0" t="n">
        <v>96607.13</v>
      </c>
      <c r="F36" s="16" t="s">
        <v>681</v>
      </c>
      <c r="G36" s="15" t="n">
        <v>45084</v>
      </c>
      <c r="H36" s="15" t="n">
        <v>45085</v>
      </c>
      <c r="I36" s="0" t="n">
        <v>633313.39</v>
      </c>
      <c r="J36" s="17" t="b">
        <f aca="false">FALSE()</f>
        <v>0</v>
      </c>
    </row>
    <row r="37" customFormat="false" ht="15" hidden="false" customHeight="false" outlineLevel="0" collapsed="false">
      <c r="A37" s="0" t="s">
        <v>717</v>
      </c>
      <c r="B37" s="0" t="s">
        <v>113</v>
      </c>
      <c r="C37" s="15" t="n">
        <v>45572</v>
      </c>
      <c r="D37" s="0" t="n">
        <v>566565.97</v>
      </c>
      <c r="E37" s="0" t="n">
        <v>101981.87</v>
      </c>
      <c r="F37" s="16" t="s">
        <v>689</v>
      </c>
      <c r="G37" s="15" t="n">
        <v>45602</v>
      </c>
      <c r="H37" s="15"/>
      <c r="I37" s="0" t="n">
        <v>668547.84</v>
      </c>
      <c r="J37" s="17" t="b">
        <f aca="false">TRUE()</f>
        <v>1</v>
      </c>
    </row>
    <row r="38" customFormat="false" ht="15" hidden="false" customHeight="false" outlineLevel="0" collapsed="false">
      <c r="A38" s="0" t="s">
        <v>718</v>
      </c>
      <c r="B38" s="0" t="s">
        <v>121</v>
      </c>
      <c r="C38" s="15" t="n">
        <v>45854</v>
      </c>
      <c r="D38" s="0" t="n">
        <v>202216.76</v>
      </c>
      <c r="E38" s="0" t="n">
        <v>36399.02</v>
      </c>
      <c r="F38" s="16" t="s">
        <v>705</v>
      </c>
      <c r="G38" s="15" t="n">
        <v>45884</v>
      </c>
      <c r="H38" s="15" t="n">
        <v>45885</v>
      </c>
      <c r="I38" s="0" t="n">
        <v>238615.78</v>
      </c>
      <c r="J38" s="17" t="b">
        <f aca="false">TRUE()</f>
        <v>1</v>
      </c>
    </row>
    <row r="39" customFormat="false" ht="15" hidden="false" customHeight="false" outlineLevel="0" collapsed="false">
      <c r="A39" s="0" t="s">
        <v>719</v>
      </c>
      <c r="B39" s="0" t="s">
        <v>182</v>
      </c>
      <c r="C39" s="15" t="n">
        <v>45150</v>
      </c>
      <c r="D39" s="0" t="n">
        <v>102413.05</v>
      </c>
      <c r="E39" s="0" t="n">
        <v>18434.35</v>
      </c>
      <c r="F39" s="16" t="s">
        <v>681</v>
      </c>
      <c r="G39" s="15" t="n">
        <v>45165</v>
      </c>
      <c r="H39" s="15" t="n">
        <v>45165</v>
      </c>
      <c r="I39" s="0" t="n">
        <v>120847.4</v>
      </c>
      <c r="J39" s="17" t="b">
        <f aca="false">FALSE()</f>
        <v>0</v>
      </c>
    </row>
    <row r="40" customFormat="false" ht="15" hidden="false" customHeight="false" outlineLevel="0" collapsed="false">
      <c r="A40" s="0" t="s">
        <v>720</v>
      </c>
      <c r="B40" s="0" t="s">
        <v>135</v>
      </c>
      <c r="C40" s="15" t="n">
        <v>45174</v>
      </c>
      <c r="D40" s="0" t="n">
        <v>299464.21</v>
      </c>
      <c r="E40" s="0" t="n">
        <v>53903.56</v>
      </c>
      <c r="F40" s="16" t="s">
        <v>689</v>
      </c>
      <c r="G40" s="15" t="n">
        <v>45219</v>
      </c>
      <c r="H40" s="15"/>
      <c r="I40" s="0" t="n">
        <v>353367.77</v>
      </c>
      <c r="J40" s="17" t="b">
        <f aca="false">TRUE()</f>
        <v>1</v>
      </c>
    </row>
    <row r="41" customFormat="false" ht="15" hidden="false" customHeight="false" outlineLevel="0" collapsed="false">
      <c r="A41" s="0" t="s">
        <v>721</v>
      </c>
      <c r="B41" s="0" t="s">
        <v>139</v>
      </c>
      <c r="C41" s="15" t="n">
        <v>45558</v>
      </c>
      <c r="D41" s="0" t="n">
        <v>226706.18</v>
      </c>
      <c r="E41" s="0" t="n">
        <v>40807.11</v>
      </c>
      <c r="F41" s="16" t="s">
        <v>681</v>
      </c>
      <c r="G41" s="15" t="n">
        <v>45588</v>
      </c>
      <c r="H41" s="15" t="n">
        <v>45593</v>
      </c>
      <c r="I41" s="0" t="n">
        <v>267513.29</v>
      </c>
      <c r="J41" s="17" t="b">
        <f aca="false">FALSE()</f>
        <v>0</v>
      </c>
    </row>
    <row r="42" customFormat="false" ht="15" hidden="false" customHeight="false" outlineLevel="0" collapsed="false">
      <c r="A42" s="0" t="s">
        <v>722</v>
      </c>
      <c r="B42" s="0" t="s">
        <v>170</v>
      </c>
      <c r="C42" s="15" t="n">
        <v>45550</v>
      </c>
      <c r="D42" s="0" t="n">
        <v>563564.83</v>
      </c>
      <c r="E42" s="0" t="n">
        <v>101441.67</v>
      </c>
      <c r="F42" s="16" t="s">
        <v>681</v>
      </c>
      <c r="G42" s="15" t="n">
        <v>45595</v>
      </c>
      <c r="H42" s="15" t="n">
        <v>45579</v>
      </c>
      <c r="I42" s="0" t="n">
        <v>665006.5</v>
      </c>
      <c r="J42" s="17" t="b">
        <f aca="false">FALSE()</f>
        <v>0</v>
      </c>
    </row>
    <row r="43" customFormat="false" ht="15" hidden="false" customHeight="false" outlineLevel="0" collapsed="false">
      <c r="A43" s="0" t="s">
        <v>723</v>
      </c>
      <c r="B43" s="0" t="s">
        <v>121</v>
      </c>
      <c r="C43" s="15" t="n">
        <v>45230</v>
      </c>
      <c r="D43" s="0" t="n">
        <v>574702.77</v>
      </c>
      <c r="E43" s="0" t="n">
        <v>103446.5</v>
      </c>
      <c r="F43" s="16" t="s">
        <v>705</v>
      </c>
      <c r="G43" s="15" t="n">
        <v>45245</v>
      </c>
      <c r="H43" s="15" t="n">
        <v>45238</v>
      </c>
      <c r="I43" s="0" t="n">
        <v>678149.27</v>
      </c>
      <c r="J43" s="17" t="b">
        <f aca="false">TRUE()</f>
        <v>1</v>
      </c>
    </row>
    <row r="44" customFormat="false" ht="15" hidden="false" customHeight="false" outlineLevel="0" collapsed="false">
      <c r="A44" s="0" t="s">
        <v>724</v>
      </c>
      <c r="B44" s="0" t="s">
        <v>148</v>
      </c>
      <c r="C44" s="15" t="n">
        <v>45027</v>
      </c>
      <c r="D44" s="0" t="n">
        <v>253095.75</v>
      </c>
      <c r="E44" s="0" t="n">
        <v>45557.24</v>
      </c>
      <c r="F44" s="16" t="s">
        <v>689</v>
      </c>
      <c r="G44" s="15" t="n">
        <v>45072</v>
      </c>
      <c r="H44" s="15"/>
      <c r="I44" s="0" t="n">
        <v>298652.99</v>
      </c>
      <c r="J44" s="17" t="b">
        <f aca="false">TRUE()</f>
        <v>1</v>
      </c>
    </row>
    <row r="45" customFormat="false" ht="15" hidden="false" customHeight="false" outlineLevel="0" collapsed="false">
      <c r="A45" s="0" t="s">
        <v>725</v>
      </c>
      <c r="B45" s="0" t="s">
        <v>100</v>
      </c>
      <c r="C45" s="15" t="n">
        <v>44990</v>
      </c>
      <c r="D45" s="0" t="n">
        <v>686589.02</v>
      </c>
      <c r="E45" s="0" t="n">
        <v>123586.02</v>
      </c>
      <c r="F45" s="16" t="s">
        <v>679</v>
      </c>
      <c r="G45" s="15" t="n">
        <v>45020</v>
      </c>
      <c r="H45" s="15"/>
      <c r="I45" s="0" t="n">
        <v>810175.04</v>
      </c>
      <c r="J45" s="17" t="b">
        <f aca="false">TRUE()</f>
        <v>1</v>
      </c>
    </row>
    <row r="46" customFormat="false" ht="15" hidden="false" customHeight="false" outlineLevel="0" collapsed="false">
      <c r="A46" s="0" t="s">
        <v>726</v>
      </c>
      <c r="B46" s="0" t="s">
        <v>154</v>
      </c>
      <c r="C46" s="15" t="n">
        <v>45438</v>
      </c>
      <c r="D46" s="0" t="n">
        <v>380393.73</v>
      </c>
      <c r="E46" s="0" t="n">
        <v>68470.87</v>
      </c>
      <c r="F46" s="16" t="s">
        <v>689</v>
      </c>
      <c r="G46" s="15" t="n">
        <v>45453</v>
      </c>
      <c r="H46" s="15"/>
      <c r="I46" s="0" t="n">
        <v>448864.6</v>
      </c>
      <c r="J46" s="17" t="b">
        <f aca="false">TRUE()</f>
        <v>1</v>
      </c>
    </row>
    <row r="47" customFormat="false" ht="15" hidden="false" customHeight="false" outlineLevel="0" collapsed="false">
      <c r="A47" s="0" t="s">
        <v>727</v>
      </c>
      <c r="B47" s="0" t="s">
        <v>92</v>
      </c>
      <c r="C47" s="15" t="n">
        <v>45175</v>
      </c>
      <c r="D47" s="0" t="n">
        <v>68101.96</v>
      </c>
      <c r="E47" s="0" t="n">
        <v>12258.35</v>
      </c>
      <c r="F47" s="16" t="s">
        <v>689</v>
      </c>
      <c r="G47" s="15" t="n">
        <v>45190</v>
      </c>
      <c r="H47" s="15"/>
      <c r="I47" s="0" t="n">
        <v>80360.31</v>
      </c>
      <c r="J47" s="17" t="b">
        <f aca="false">TRUE()</f>
        <v>1</v>
      </c>
    </row>
    <row r="48" customFormat="false" ht="15" hidden="false" customHeight="false" outlineLevel="0" collapsed="false">
      <c r="A48" s="0" t="s">
        <v>728</v>
      </c>
      <c r="B48" s="0" t="s">
        <v>108</v>
      </c>
      <c r="C48" s="15" t="n">
        <v>45194</v>
      </c>
      <c r="D48" s="0" t="n">
        <v>662465.26</v>
      </c>
      <c r="E48" s="0" t="n">
        <v>119243.75</v>
      </c>
      <c r="F48" s="16" t="s">
        <v>681</v>
      </c>
      <c r="G48" s="15" t="n">
        <v>45209</v>
      </c>
      <c r="H48" s="15" t="n">
        <v>45199</v>
      </c>
      <c r="I48" s="0" t="n">
        <v>781709.01</v>
      </c>
      <c r="J48" s="17" t="b">
        <f aca="false">FALSE()</f>
        <v>0</v>
      </c>
    </row>
    <row r="49" customFormat="false" ht="15" hidden="false" customHeight="false" outlineLevel="0" collapsed="false">
      <c r="A49" s="0" t="s">
        <v>729</v>
      </c>
      <c r="B49" s="0" t="s">
        <v>166</v>
      </c>
      <c r="C49" s="15" t="n">
        <v>45099</v>
      </c>
      <c r="D49" s="0" t="n">
        <v>477172.63</v>
      </c>
      <c r="E49" s="0" t="n">
        <v>85891.07</v>
      </c>
      <c r="F49" s="16" t="s">
        <v>705</v>
      </c>
      <c r="G49" s="15" t="n">
        <v>45144</v>
      </c>
      <c r="H49" s="15" t="n">
        <v>45147</v>
      </c>
      <c r="I49" s="0" t="n">
        <v>563063.7</v>
      </c>
      <c r="J49" s="17" t="b">
        <f aca="false">TRUE()</f>
        <v>1</v>
      </c>
    </row>
    <row r="50" customFormat="false" ht="15" hidden="false" customHeight="false" outlineLevel="0" collapsed="false">
      <c r="A50" s="0" t="s">
        <v>730</v>
      </c>
      <c r="B50" s="0" t="s">
        <v>67</v>
      </c>
      <c r="C50" s="15" t="n">
        <v>45059</v>
      </c>
      <c r="D50" s="0" t="n">
        <v>723946.94</v>
      </c>
      <c r="E50" s="0" t="n">
        <v>130310.45</v>
      </c>
      <c r="F50" s="16" t="s">
        <v>681</v>
      </c>
      <c r="G50" s="15" t="n">
        <v>45074</v>
      </c>
      <c r="H50" s="15" t="n">
        <v>45080</v>
      </c>
      <c r="I50" s="0" t="n">
        <v>854257.39</v>
      </c>
      <c r="J50" s="17" t="b">
        <f aca="false">FALSE()</f>
        <v>0</v>
      </c>
    </row>
    <row r="51" customFormat="false" ht="15" hidden="false" customHeight="false" outlineLevel="0" collapsed="false">
      <c r="A51" s="0" t="s">
        <v>731</v>
      </c>
      <c r="B51" s="0" t="s">
        <v>82</v>
      </c>
      <c r="C51" s="15" t="n">
        <v>45606</v>
      </c>
      <c r="D51" s="0" t="n">
        <v>53303.13</v>
      </c>
      <c r="E51" s="0" t="n">
        <v>9594.56</v>
      </c>
      <c r="F51" s="16" t="s">
        <v>681</v>
      </c>
      <c r="G51" s="15" t="n">
        <v>45621</v>
      </c>
      <c r="H51" s="15" t="n">
        <v>45626</v>
      </c>
      <c r="I51" s="0" t="n">
        <v>62897.69</v>
      </c>
      <c r="J51" s="17" t="b">
        <f aca="false">FALSE()</f>
        <v>0</v>
      </c>
    </row>
    <row r="52" customFormat="false" ht="15" hidden="false" customHeight="false" outlineLevel="0" collapsed="false">
      <c r="A52" s="0" t="s">
        <v>732</v>
      </c>
      <c r="B52" s="0" t="s">
        <v>156</v>
      </c>
      <c r="C52" s="15" t="n">
        <v>45814</v>
      </c>
      <c r="D52" s="0" t="n">
        <v>328098.98</v>
      </c>
      <c r="E52" s="0" t="n">
        <v>59057.82</v>
      </c>
      <c r="F52" s="16" t="s">
        <v>681</v>
      </c>
      <c r="G52" s="15" t="n">
        <v>45859</v>
      </c>
      <c r="H52" s="15" t="n">
        <v>45848</v>
      </c>
      <c r="I52" s="0" t="n">
        <v>387156.8</v>
      </c>
      <c r="J52" s="17" t="b">
        <f aca="false">FALSE()</f>
        <v>0</v>
      </c>
    </row>
    <row r="53" customFormat="false" ht="15" hidden="false" customHeight="false" outlineLevel="0" collapsed="false">
      <c r="A53" s="0" t="s">
        <v>733</v>
      </c>
      <c r="B53" s="0" t="s">
        <v>137</v>
      </c>
      <c r="C53" s="15" t="n">
        <v>45280</v>
      </c>
      <c r="D53" s="0" t="n">
        <v>187478.56</v>
      </c>
      <c r="E53" s="0" t="n">
        <v>33746.14</v>
      </c>
      <c r="F53" s="16" t="s">
        <v>681</v>
      </c>
      <c r="G53" s="15" t="n">
        <v>45310</v>
      </c>
      <c r="H53" s="15" t="n">
        <v>45312</v>
      </c>
      <c r="I53" s="0" t="n">
        <v>221224.7</v>
      </c>
      <c r="J53" s="17" t="b">
        <f aca="false">FALSE()</f>
        <v>0</v>
      </c>
    </row>
    <row r="54" customFormat="false" ht="15" hidden="false" customHeight="false" outlineLevel="0" collapsed="false">
      <c r="A54" s="0" t="s">
        <v>734</v>
      </c>
      <c r="B54" s="0" t="s">
        <v>139</v>
      </c>
      <c r="C54" s="15" t="n">
        <v>45231</v>
      </c>
      <c r="D54" s="0" t="n">
        <v>499003.13</v>
      </c>
      <c r="E54" s="0" t="n">
        <v>89820.56</v>
      </c>
      <c r="F54" s="16" t="s">
        <v>679</v>
      </c>
      <c r="G54" s="15" t="n">
        <v>45246</v>
      </c>
      <c r="H54" s="15"/>
      <c r="I54" s="0" t="n">
        <v>588823.69</v>
      </c>
      <c r="J54" s="17" t="b">
        <f aca="false">TRUE()</f>
        <v>1</v>
      </c>
    </row>
    <row r="55" customFormat="false" ht="15" hidden="false" customHeight="false" outlineLevel="0" collapsed="false">
      <c r="A55" s="0" t="s">
        <v>735</v>
      </c>
      <c r="B55" s="0" t="s">
        <v>166</v>
      </c>
      <c r="C55" s="15" t="n">
        <v>45531</v>
      </c>
      <c r="D55" s="0" t="n">
        <v>341353.92</v>
      </c>
      <c r="E55" s="0" t="n">
        <v>61443.71</v>
      </c>
      <c r="F55" s="16" t="s">
        <v>679</v>
      </c>
      <c r="G55" s="15" t="n">
        <v>45561</v>
      </c>
      <c r="H55" s="15"/>
      <c r="I55" s="0" t="n">
        <v>402797.63</v>
      </c>
      <c r="J55" s="17" t="b">
        <f aca="false">TRUE()</f>
        <v>1</v>
      </c>
    </row>
    <row r="56" customFormat="false" ht="15" hidden="false" customHeight="false" outlineLevel="0" collapsed="false">
      <c r="A56" s="0" t="s">
        <v>736</v>
      </c>
      <c r="B56" s="0" t="s">
        <v>75</v>
      </c>
      <c r="C56" s="15" t="n">
        <v>45106</v>
      </c>
      <c r="D56" s="0" t="n">
        <v>318751.92</v>
      </c>
      <c r="E56" s="0" t="n">
        <v>57375.35</v>
      </c>
      <c r="F56" s="16" t="s">
        <v>681</v>
      </c>
      <c r="G56" s="15" t="n">
        <v>45136</v>
      </c>
      <c r="H56" s="15" t="n">
        <v>45126</v>
      </c>
      <c r="I56" s="0" t="n">
        <v>376127.27</v>
      </c>
      <c r="J56" s="17" t="b">
        <f aca="false">FALSE()</f>
        <v>0</v>
      </c>
    </row>
    <row r="57" customFormat="false" ht="15" hidden="false" customHeight="false" outlineLevel="0" collapsed="false">
      <c r="A57" s="0" t="s">
        <v>737</v>
      </c>
      <c r="B57" s="0" t="s">
        <v>150</v>
      </c>
      <c r="C57" s="15" t="n">
        <v>45437</v>
      </c>
      <c r="D57" s="0" t="n">
        <v>795388.08</v>
      </c>
      <c r="E57" s="0" t="n">
        <v>143169.85</v>
      </c>
      <c r="F57" s="16" t="s">
        <v>681</v>
      </c>
      <c r="G57" s="15" t="n">
        <v>45482</v>
      </c>
      <c r="H57" s="15" t="n">
        <v>45492</v>
      </c>
      <c r="I57" s="0" t="n">
        <v>938557.93</v>
      </c>
      <c r="J57" s="17" t="b">
        <f aca="false">FALSE()</f>
        <v>0</v>
      </c>
    </row>
    <row r="58" customFormat="false" ht="15" hidden="false" customHeight="false" outlineLevel="0" collapsed="false">
      <c r="A58" s="0" t="s">
        <v>738</v>
      </c>
      <c r="B58" s="0" t="s">
        <v>130</v>
      </c>
      <c r="C58" s="15" t="n">
        <v>45662</v>
      </c>
      <c r="D58" s="0" t="n">
        <v>444723.89</v>
      </c>
      <c r="E58" s="0" t="n">
        <v>80050.3</v>
      </c>
      <c r="F58" s="16" t="s">
        <v>681</v>
      </c>
      <c r="G58" s="15" t="n">
        <v>45692</v>
      </c>
      <c r="H58" s="15" t="n">
        <v>45673</v>
      </c>
      <c r="I58" s="0" t="n">
        <v>524774.19</v>
      </c>
      <c r="J58" s="17" t="b">
        <f aca="false">FALSE()</f>
        <v>0</v>
      </c>
    </row>
    <row r="59" customFormat="false" ht="15" hidden="false" customHeight="false" outlineLevel="0" collapsed="false">
      <c r="A59" s="0" t="s">
        <v>739</v>
      </c>
      <c r="B59" s="0" t="s">
        <v>156</v>
      </c>
      <c r="C59" s="15" t="n">
        <v>45955</v>
      </c>
      <c r="D59" s="0" t="n">
        <v>322937.39</v>
      </c>
      <c r="E59" s="0" t="n">
        <v>58128.73</v>
      </c>
      <c r="F59" s="16" t="s">
        <v>681</v>
      </c>
      <c r="G59" s="15" t="n">
        <v>45985</v>
      </c>
      <c r="H59" s="15" t="n">
        <v>45985</v>
      </c>
      <c r="I59" s="0" t="n">
        <v>381066.12</v>
      </c>
      <c r="J59" s="17" t="b">
        <f aca="false">FALSE()</f>
        <v>0</v>
      </c>
    </row>
    <row r="60" customFormat="false" ht="15" hidden="false" customHeight="false" outlineLevel="0" collapsed="false">
      <c r="A60" s="0" t="s">
        <v>740</v>
      </c>
      <c r="B60" s="0" t="s">
        <v>160</v>
      </c>
      <c r="C60" s="15" t="n">
        <v>45375</v>
      </c>
      <c r="D60" s="0" t="n">
        <v>718696.53</v>
      </c>
      <c r="E60" s="0" t="n">
        <v>129365.38</v>
      </c>
      <c r="F60" s="16" t="s">
        <v>689</v>
      </c>
      <c r="G60" s="15" t="n">
        <v>45390</v>
      </c>
      <c r="H60" s="15"/>
      <c r="I60" s="0" t="n">
        <v>848061.91</v>
      </c>
      <c r="J60" s="17" t="b">
        <f aca="false">TRUE()</f>
        <v>1</v>
      </c>
    </row>
    <row r="61" customFormat="false" ht="15" hidden="false" customHeight="false" outlineLevel="0" collapsed="false">
      <c r="A61" s="0" t="s">
        <v>741</v>
      </c>
      <c r="B61" s="0" t="s">
        <v>75</v>
      </c>
      <c r="C61" s="15" t="n">
        <v>45893</v>
      </c>
      <c r="D61" s="0" t="n">
        <v>298797.66</v>
      </c>
      <c r="E61" s="0" t="n">
        <v>53783.58</v>
      </c>
      <c r="F61" s="16" t="s">
        <v>679</v>
      </c>
      <c r="G61" s="15" t="n">
        <v>45938</v>
      </c>
      <c r="H61" s="15"/>
      <c r="I61" s="0" t="n">
        <v>352581.24</v>
      </c>
      <c r="J61" s="17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2026-06-11T07:11:57Z</dcterms:created>
  <dc:creator>openpyxl</dc:creator>
  <dc:description/>
  <dc:language>en-US</dc:language>
  <cp:lastModifiedBy/>
  <dcterms:modified xsi:type="dcterms:W3CDTF">2026-06-11T07:11:57Z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